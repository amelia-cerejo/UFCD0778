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Projetos\Codex\Projetos-Codex\UFCD0778\assets\ficheiros\Excel\"/>
    </mc:Choice>
  </mc:AlternateContent>
  <xr:revisionPtr revIDLastSave="0" documentId="13_ncr:1_{F26137AB-0ADF-4426-A1E3-3E6E37F5E04A}" xr6:coauthVersionLast="47" xr6:coauthVersionMax="47" xr10:uidLastSave="{00000000-0000-0000-0000-000000000000}"/>
  <bookViews>
    <workbookView xWindow="-26580" yWindow="2985" windowWidth="25515" windowHeight="10065" xr2:uid="{00000000-000D-0000-FFFF-FFFF00000000}"/>
  </bookViews>
  <sheets>
    <sheet name="INSTRUÇÕES" sheetId="1" r:id="rId1"/>
    <sheet name="CÁLCULOS" sheetId="2" r:id="rId2"/>
    <sheet name="ENCOMENDAS" sheetId="3" r:id="rId3"/>
    <sheet name="TAXAS FIXAS" sheetId="4" r:id="rId4"/>
    <sheet name="MATRIZ MISTA" sheetId="5" r:id="rId5"/>
    <sheet name="AUDITORIA" sheetId="6" r:id="rId6"/>
    <sheet name="DESAFIO" sheetId="7" r:id="rId7"/>
    <sheet name="VERIFICAÇÃO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6" i="7" l="1"/>
  <c r="F26" i="7"/>
  <c r="E26" i="7"/>
  <c r="D26" i="7"/>
  <c r="C26" i="7"/>
  <c r="B26" i="7"/>
  <c r="I21" i="7"/>
  <c r="F21" i="7"/>
  <c r="G21" i="7" s="1"/>
  <c r="E21" i="7"/>
  <c r="I20" i="7"/>
  <c r="E20" i="7"/>
  <c r="I19" i="7"/>
  <c r="F19" i="7"/>
  <c r="E19" i="7"/>
  <c r="G19" i="7" s="1"/>
  <c r="I18" i="7"/>
  <c r="E18" i="7"/>
  <c r="F18" i="7" s="1"/>
  <c r="G18" i="7" s="1"/>
  <c r="I17" i="7"/>
  <c r="F17" i="7"/>
  <c r="G17" i="7" s="1"/>
  <c r="E17" i="7"/>
  <c r="I16" i="7"/>
  <c r="E16" i="7"/>
  <c r="I15" i="7"/>
  <c r="F15" i="7"/>
  <c r="E15" i="7"/>
  <c r="G15" i="7" s="1"/>
  <c r="I14" i="7"/>
  <c r="E14" i="7"/>
  <c r="F14" i="7" s="1"/>
  <c r="G14" i="7" s="1"/>
  <c r="I13" i="7"/>
  <c r="F13" i="7"/>
  <c r="G13" i="7" s="1"/>
  <c r="E13" i="7"/>
  <c r="I12" i="7"/>
  <c r="E12" i="7"/>
  <c r="I11" i="7"/>
  <c r="F11" i="7"/>
  <c r="E11" i="7"/>
  <c r="G11" i="7" s="1"/>
  <c r="I10" i="7"/>
  <c r="E10" i="7"/>
  <c r="F10" i="7" s="1"/>
  <c r="G10" i="7" s="1"/>
  <c r="E23" i="5"/>
  <c r="E22" i="5"/>
  <c r="H19" i="5"/>
  <c r="G19" i="5"/>
  <c r="F19" i="5"/>
  <c r="E19" i="5"/>
  <c r="D19" i="5"/>
  <c r="C19" i="5"/>
  <c r="H18" i="5"/>
  <c r="G18" i="5"/>
  <c r="F18" i="5"/>
  <c r="E18" i="5"/>
  <c r="D18" i="5"/>
  <c r="C18" i="5"/>
  <c r="H17" i="5"/>
  <c r="G17" i="5"/>
  <c r="F17" i="5"/>
  <c r="E17" i="5"/>
  <c r="D17" i="5"/>
  <c r="C17" i="5"/>
  <c r="H16" i="5"/>
  <c r="G16" i="5"/>
  <c r="F16" i="5"/>
  <c r="E16" i="5"/>
  <c r="D16" i="5"/>
  <c r="C16" i="5"/>
  <c r="H15" i="5"/>
  <c r="G15" i="5"/>
  <c r="F15" i="5"/>
  <c r="E15" i="5"/>
  <c r="D15" i="5"/>
  <c r="C15" i="5"/>
  <c r="H14" i="5"/>
  <c r="G14" i="5"/>
  <c r="F14" i="5"/>
  <c r="E14" i="5"/>
  <c r="D14" i="5"/>
  <c r="C14" i="5"/>
  <c r="H13" i="5"/>
  <c r="G13" i="5"/>
  <c r="F13" i="5"/>
  <c r="E13" i="5"/>
  <c r="D13" i="5"/>
  <c r="C13" i="5"/>
  <c r="H12" i="5"/>
  <c r="G12" i="5"/>
  <c r="F12" i="5"/>
  <c r="E12" i="5"/>
  <c r="D12" i="5"/>
  <c r="C12" i="5"/>
  <c r="H11" i="5"/>
  <c r="G11" i="5"/>
  <c r="F11" i="5"/>
  <c r="E11" i="5"/>
  <c r="D11" i="5"/>
  <c r="C11" i="5"/>
  <c r="H10" i="5"/>
  <c r="G10" i="5"/>
  <c r="F10" i="5"/>
  <c r="E10" i="5"/>
  <c r="D10" i="5"/>
  <c r="C10" i="5"/>
  <c r="H9" i="5"/>
  <c r="G9" i="5"/>
  <c r="F9" i="5"/>
  <c r="E9" i="5"/>
  <c r="D9" i="5"/>
  <c r="C9" i="5"/>
  <c r="H8" i="5"/>
  <c r="G8" i="5"/>
  <c r="F8" i="5"/>
  <c r="E8" i="5"/>
  <c r="D8" i="5"/>
  <c r="C8" i="5"/>
  <c r="I29" i="4"/>
  <c r="E29" i="4"/>
  <c r="F29" i="4" s="1"/>
  <c r="G29" i="4" s="1"/>
  <c r="I28" i="4"/>
  <c r="F28" i="4"/>
  <c r="E28" i="4"/>
  <c r="G28" i="4" s="1"/>
  <c r="I27" i="4"/>
  <c r="E27" i="4"/>
  <c r="I26" i="4"/>
  <c r="F26" i="4"/>
  <c r="E26" i="4"/>
  <c r="G26" i="4" s="1"/>
  <c r="I25" i="4"/>
  <c r="E25" i="4"/>
  <c r="F25" i="4" s="1"/>
  <c r="G25" i="4" s="1"/>
  <c r="I24" i="4"/>
  <c r="F24" i="4"/>
  <c r="E24" i="4"/>
  <c r="G24" i="4" s="1"/>
  <c r="I23" i="4"/>
  <c r="E23" i="4"/>
  <c r="I22" i="4"/>
  <c r="F22" i="4"/>
  <c r="G22" i="4" s="1"/>
  <c r="E22" i="4"/>
  <c r="I21" i="4"/>
  <c r="E21" i="4"/>
  <c r="F21" i="4" s="1"/>
  <c r="G21" i="4" s="1"/>
  <c r="I20" i="4"/>
  <c r="F20" i="4"/>
  <c r="E20" i="4"/>
  <c r="G20" i="4" s="1"/>
  <c r="I19" i="4"/>
  <c r="E19" i="4"/>
  <c r="I18" i="4"/>
  <c r="F18" i="4"/>
  <c r="G18" i="4" s="1"/>
  <c r="E18" i="4"/>
  <c r="I17" i="4"/>
  <c r="E17" i="4"/>
  <c r="F17" i="4" s="1"/>
  <c r="G17" i="4" s="1"/>
  <c r="I16" i="4"/>
  <c r="F16" i="4"/>
  <c r="E16" i="4"/>
  <c r="G16" i="4" s="1"/>
  <c r="I15" i="4"/>
  <c r="E15" i="4"/>
  <c r="I14" i="4"/>
  <c r="F14" i="4"/>
  <c r="G14" i="4" s="1"/>
  <c r="E14" i="4"/>
  <c r="I13" i="4"/>
  <c r="E13" i="4"/>
  <c r="F13" i="4" s="1"/>
  <c r="G13" i="4" s="1"/>
  <c r="I12" i="4"/>
  <c r="F12" i="4"/>
  <c r="E12" i="4"/>
  <c r="G12" i="4" s="1"/>
  <c r="I11" i="4"/>
  <c r="E11" i="4"/>
  <c r="I10" i="4"/>
  <c r="F10" i="4"/>
  <c r="G10" i="4" s="1"/>
  <c r="E10" i="4"/>
  <c r="G35" i="3"/>
  <c r="H35" i="3" s="1"/>
  <c r="G34" i="3"/>
  <c r="H34" i="3" s="1"/>
  <c r="I34" i="3" s="1"/>
  <c r="G33" i="3"/>
  <c r="H33" i="3" s="1"/>
  <c r="G32" i="3"/>
  <c r="G31" i="3"/>
  <c r="G30" i="3"/>
  <c r="H29" i="3"/>
  <c r="I29" i="3" s="1"/>
  <c r="G29" i="3"/>
  <c r="H28" i="3"/>
  <c r="G28" i="3"/>
  <c r="I28" i="3" s="1"/>
  <c r="G27" i="3"/>
  <c r="I26" i="3"/>
  <c r="H26" i="3"/>
  <c r="G26" i="3"/>
  <c r="G25" i="3"/>
  <c r="H25" i="3" s="1"/>
  <c r="G24" i="3"/>
  <c r="G23" i="3"/>
  <c r="G22" i="3"/>
  <c r="H21" i="3"/>
  <c r="I21" i="3" s="1"/>
  <c r="G21" i="3"/>
  <c r="H20" i="3"/>
  <c r="G20" i="3"/>
  <c r="I20" i="3" s="1"/>
  <c r="G19" i="3"/>
  <c r="I18" i="3"/>
  <c r="H18" i="3"/>
  <c r="G18" i="3"/>
  <c r="G17" i="3"/>
  <c r="H17" i="3" s="1"/>
  <c r="G16" i="3"/>
  <c r="G15" i="3"/>
  <c r="G14" i="3"/>
  <c r="H13" i="3"/>
  <c r="I13" i="3" s="1"/>
  <c r="G13" i="3"/>
  <c r="H12" i="3"/>
  <c r="G12" i="3"/>
  <c r="I12" i="3" s="1"/>
  <c r="G11" i="3"/>
  <c r="I10" i="3"/>
  <c r="H10" i="3"/>
  <c r="G10" i="3"/>
  <c r="G9" i="3"/>
  <c r="H9" i="3" s="1"/>
  <c r="G8" i="3"/>
  <c r="G7" i="3"/>
  <c r="G6" i="3"/>
  <c r="G20" i="2"/>
  <c r="F20" i="2"/>
  <c r="E20" i="2"/>
  <c r="G19" i="2"/>
  <c r="F19" i="2"/>
  <c r="E19" i="2"/>
  <c r="G18" i="2"/>
  <c r="F18" i="2"/>
  <c r="E18" i="2"/>
  <c r="G17" i="2"/>
  <c r="F17" i="2"/>
  <c r="E17" i="2"/>
  <c r="G16" i="2"/>
  <c r="F16" i="2"/>
  <c r="E16" i="2"/>
  <c r="G15" i="2"/>
  <c r="F15" i="2"/>
  <c r="E15" i="2"/>
  <c r="F11" i="2"/>
  <c r="E11" i="2"/>
  <c r="F10" i="2"/>
  <c r="E10" i="2"/>
  <c r="F9" i="2"/>
  <c r="E9" i="2"/>
  <c r="F8" i="2"/>
  <c r="E8" i="2"/>
  <c r="F7" i="2"/>
  <c r="E7" i="2"/>
  <c r="F6" i="2"/>
  <c r="E6" i="2"/>
  <c r="H13" i="7" l="1"/>
  <c r="J13" i="7" s="1"/>
  <c r="I8" i="3"/>
  <c r="J13" i="4"/>
  <c r="H13" i="4"/>
  <c r="H29" i="4"/>
  <c r="J29" i="4" s="1"/>
  <c r="J15" i="7"/>
  <c r="H15" i="7"/>
  <c r="H21" i="7"/>
  <c r="J21" i="7" s="1"/>
  <c r="J10" i="4"/>
  <c r="H10" i="4"/>
  <c r="H17" i="4"/>
  <c r="J17" i="4" s="1"/>
  <c r="H24" i="4"/>
  <c r="J24" i="4"/>
  <c r="I32" i="3"/>
  <c r="H10" i="7"/>
  <c r="J10" i="7" s="1"/>
  <c r="I27" i="3"/>
  <c r="H12" i="4"/>
  <c r="J12" i="4" s="1"/>
  <c r="H18" i="4"/>
  <c r="J18" i="4" s="1"/>
  <c r="H28" i="4"/>
  <c r="J28" i="4"/>
  <c r="I22" i="3"/>
  <c r="J25" i="4"/>
  <c r="H25" i="4"/>
  <c r="H11" i="7"/>
  <c r="J11" i="7" s="1"/>
  <c r="H14" i="7"/>
  <c r="J14" i="7" s="1"/>
  <c r="J17" i="7"/>
  <c r="H17" i="7"/>
  <c r="J26" i="4"/>
  <c r="H26" i="4"/>
  <c r="H18" i="7"/>
  <c r="J18" i="7" s="1"/>
  <c r="H20" i="4"/>
  <c r="J20" i="4"/>
  <c r="H19" i="7"/>
  <c r="J19" i="7" s="1"/>
  <c r="H14" i="4"/>
  <c r="J14" i="4" s="1"/>
  <c r="G27" i="4"/>
  <c r="J21" i="4"/>
  <c r="H21" i="4"/>
  <c r="H16" i="4"/>
  <c r="J16" i="4"/>
  <c r="G19" i="4"/>
  <c r="H22" i="4"/>
  <c r="J22" i="4" s="1"/>
  <c r="H27" i="3"/>
  <c r="I25" i="3"/>
  <c r="H7" i="3"/>
  <c r="I7" i="3" s="1"/>
  <c r="H15" i="3"/>
  <c r="I15" i="3" s="1"/>
  <c r="H23" i="3"/>
  <c r="I23" i="3" s="1"/>
  <c r="H31" i="3"/>
  <c r="I31" i="3" s="1"/>
  <c r="I9" i="3"/>
  <c r="I17" i="3"/>
  <c r="I33" i="3"/>
  <c r="H32" i="3"/>
  <c r="H8" i="3"/>
  <c r="H24" i="3"/>
  <c r="I24" i="3" s="1"/>
  <c r="H16" i="3"/>
  <c r="I16" i="3" s="1"/>
  <c r="H11" i="3"/>
  <c r="I11" i="3" s="1"/>
  <c r="H19" i="3"/>
  <c r="I19" i="3" s="1"/>
  <c r="H6" i="3"/>
  <c r="I6" i="3" s="1"/>
  <c r="H14" i="3"/>
  <c r="I14" i="3" s="1"/>
  <c r="H22" i="3"/>
  <c r="H30" i="3"/>
  <c r="I30" i="3" s="1"/>
  <c r="I35" i="3"/>
  <c r="F11" i="4"/>
  <c r="G11" i="4" s="1"/>
  <c r="F15" i="4"/>
  <c r="G15" i="4" s="1"/>
  <c r="F19" i="4"/>
  <c r="F23" i="4"/>
  <c r="G23" i="4" s="1"/>
  <c r="F27" i="4"/>
  <c r="F12" i="7"/>
  <c r="G12" i="7" s="1"/>
  <c r="F16" i="7"/>
  <c r="G16" i="7" s="1"/>
  <c r="F20" i="7"/>
  <c r="G20" i="7" s="1"/>
  <c r="H15" i="4" l="1"/>
  <c r="J15" i="4" s="1"/>
  <c r="H20" i="7"/>
  <c r="J20" i="7" s="1"/>
  <c r="H16" i="7"/>
  <c r="J16" i="7" s="1"/>
  <c r="H12" i="7"/>
  <c r="J12" i="7"/>
  <c r="B24" i="7"/>
  <c r="H11" i="4"/>
  <c r="J11" i="4" s="1"/>
  <c r="H23" i="4"/>
  <c r="J23" i="4" s="1"/>
  <c r="H19" i="4"/>
  <c r="J19" i="4" s="1"/>
  <c r="J27" i="4"/>
  <c r="H27" i="4"/>
  <c r="B25" i="7" l="1"/>
  <c r="G24" i="7"/>
  <c r="E24" i="7"/>
  <c r="B27" i="7"/>
  <c r="D24" i="7"/>
  <c r="C24" i="7"/>
  <c r="F24" i="7"/>
  <c r="C27" i="7" l="1"/>
  <c r="C25" i="7"/>
  <c r="G25" i="7"/>
  <c r="G27" i="7" s="1"/>
  <c r="F25" i="7"/>
  <c r="F27" i="7" s="1"/>
  <c r="D25" i="7"/>
  <c r="D27" i="7" s="1"/>
  <c r="E27" i="7"/>
  <c r="E25" i="7"/>
</calcChain>
</file>

<file path=xl/sharedStrings.xml><?xml version="1.0" encoding="utf-8"?>
<sst xmlns="http://schemas.openxmlformats.org/spreadsheetml/2006/main" count="483" uniqueCount="395">
  <si>
    <t>Livro 3 — Fórmulas e referências</t>
  </si>
  <si>
    <t>TI05 — Fórmulas e referências relativas | TI06 — Referências absolutas, mistas e auditoria</t>
  </si>
  <si>
    <t>Finalidade</t>
  </si>
  <si>
    <t>Construir fórmulas aritméticas, compreender a ordem de cálculo, copiar fórmulas com referências relativas, fixar valores constantes com referências absolutas, usar referências mistas em matrizes e diagnosticar erros comuns.</t>
  </si>
  <si>
    <t>Etapa</t>
  </si>
  <si>
    <t>Trabalho a realizar</t>
  </si>
  <si>
    <t>TI05 · CÁLCULOS</t>
  </si>
  <si>
    <t>Criar fórmulas com +, -, * e /; comparar resultados com e sem parênteses.</t>
  </si>
  <si>
    <t>TI05 · ENCOMENDAS</t>
  </si>
  <si>
    <t>Calcular 30 linhas e copiar fórmulas usando referências relativas.</t>
  </si>
  <si>
    <t>TI06 · TAXAS FIXAS</t>
  </si>
  <si>
    <t>Aplicar IVA, desconto e portes com referências absolutas.</t>
  </si>
  <si>
    <t>TI06 · MATRIZ MISTA</t>
  </si>
  <si>
    <t>Construir uma matriz de preços usando referências mistas.</t>
  </si>
  <si>
    <t>TI06 · AUDITORIA</t>
  </si>
  <si>
    <t>Interpretar fórmulas, localizar causas e corrigir problemas.</t>
  </si>
  <si>
    <t>DESAFIO</t>
  </si>
  <si>
    <t>Concluir autonomamente um mini-orçamento e justificar as referências usadas.</t>
  </si>
  <si>
    <t>Regras</t>
  </si>
  <si>
    <t>• Escrever as fórmulas nas células amarelas e copiá-las apenas quando indicado.
• Não usar funções neste livro: trabalhar apenas com operadores e referências.
• Confirmar resultados com cálculo manual em casos representativos.
• Usar Mostrar Fórmulas e Rastrear Precedentes durante a verificação.
• Guardar versões separadas da TI05 e da TI06, de acordo com o enunciado da tarefa.</t>
  </si>
  <si>
    <t>Importante: as áreas amarelas são zonas de trabalho e estão deliberadamente por preencher. O livro não contém as respostas.</t>
  </si>
  <si>
    <t>TI05 — Operadores e ordem de cálculo</t>
  </si>
  <si>
    <t>Criar fórmulas a partir dos valores disponíveis e explicar o efeito dos parênteses.</t>
  </si>
  <si>
    <t>1. Operações fundamentais</t>
  </si>
  <si>
    <t>Caso</t>
  </si>
  <si>
    <t>Valor A</t>
  </si>
  <si>
    <t>Valor B</t>
  </si>
  <si>
    <t>Operação / constante</t>
  </si>
  <si>
    <t>Fórmula</t>
  </si>
  <si>
    <t>Resultado</t>
  </si>
  <si>
    <t>Cálculo manual</t>
  </si>
  <si>
    <t>Confirmação</t>
  </si>
  <si>
    <t>Adição</t>
  </si>
  <si>
    <t>+</t>
  </si>
  <si>
    <t>128 + 37 = 165</t>
  </si>
  <si>
    <t>✓</t>
  </si>
  <si>
    <t>Subtração</t>
  </si>
  <si>
    <t>-</t>
  </si>
  <si>
    <t>245 - 89 = 156</t>
  </si>
  <si>
    <t>Multiplicação</t>
  </si>
  <si>
    <t>x</t>
  </si>
  <si>
    <t>18 × 24 = 432</t>
  </si>
  <si>
    <t>Divisão</t>
  </si>
  <si>
    <t xml:space="preserve">÷ </t>
  </si>
  <si>
    <t>960 ÷ 32 = 30</t>
  </si>
  <si>
    <t>Operações combinadas</t>
  </si>
  <si>
    <t>× e + 25</t>
  </si>
  <si>
    <t>75 × 12 + 25 = 925</t>
  </si>
  <si>
    <t>e − 10</t>
  </si>
  <si>
    <t>420 ÷ 15 - 10 = 18</t>
  </si>
  <si>
    <t>2. Ordem de cálculo</t>
  </si>
  <si>
    <t>Situação</t>
  </si>
  <si>
    <t>Valor C</t>
  </si>
  <si>
    <t>Fórmula a criar</t>
  </si>
  <si>
    <t>Resultado 
(fórmula alternativa)</t>
  </si>
  <si>
    <t>Explicação</t>
  </si>
  <si>
    <t>A + B × C</t>
  </si>
  <si>
    <t>Multiplica primeiro: 24×6=144, depois soma 100. Parênteses redundantes.</t>
  </si>
  <si>
    <t>(A + B) × C</t>
  </si>
  <si>
    <t>Parênteses alteram: (100+24)×6=744 vs 100+24×6=244.</t>
  </si>
  <si>
    <t>A − B ÷ C</t>
  </si>
  <si>
    <t>Divide primeiro: 24÷6=4, depois subtrai: 100-4=96.</t>
  </si>
  <si>
    <t>(A − B) ÷ C</t>
  </si>
  <si>
    <t>Parênteses alteram: (100-24)÷6=12,67 vs 100-24÷6=96.</t>
  </si>
  <si>
    <t>A × B + C</t>
  </si>
  <si>
    <t>Multiplica primeiro: 35×8=280, depois soma 20=300.</t>
  </si>
  <si>
    <t>A × (B + C)</t>
  </si>
  <si>
    <t>Parênteses alteram: 35×(8+20)=35×28=980 vs 35×8+20=300.</t>
  </si>
  <si>
    <t>Conclusão: Os parênteses alteram o resultado quando a expressão mistura operações de prioridades diferentes (ex: adição com multiplicação). São redundantes quando todas as operações têm a mesma prioridade ou quando a ordem natural já produz o resultado pretendido. Exemplos: A+B×C≠(A+B)×C; A-B÷C≠(A-B)÷C; A×B+C=(A×B)+C.</t>
  </si>
  <si>
    <t>TI05 — Referências relativas</t>
  </si>
  <si>
    <t>Construir a primeira fórmula de cada coluna e copiá-la até ao último registo.</t>
  </si>
  <si>
    <t>Calcular: Quantidade × Preço unitário; depois Desconto; por fim Total líquido. Verificar manualmente os registos 1, 12 e 30 (linhas 6, 17 e 35 da folha).</t>
  </si>
  <si>
    <t>N.º</t>
  </si>
  <si>
    <t>Código</t>
  </si>
  <si>
    <t>Produto</t>
  </si>
  <si>
    <t>Quantidade</t>
  </si>
  <si>
    <t>Preço unitário</t>
  </si>
  <si>
    <t>Desconto %</t>
  </si>
  <si>
    <t>Subtotal</t>
  </si>
  <si>
    <t>Valor desconto</t>
  </si>
  <si>
    <t>Total líquido</t>
  </si>
  <si>
    <t>Observação</t>
  </si>
  <si>
    <t>P001</t>
  </si>
  <si>
    <t>Caderno A5</t>
  </si>
  <si>
    <t>P002</t>
  </si>
  <si>
    <t>Pasta arquivo</t>
  </si>
  <si>
    <t>P003</t>
  </si>
  <si>
    <t>Caneta azul</t>
  </si>
  <si>
    <t>P004</t>
  </si>
  <si>
    <t>Marcadores</t>
  </si>
  <si>
    <t>P005</t>
  </si>
  <si>
    <t>Resma A4</t>
  </si>
  <si>
    <t>P006</t>
  </si>
  <si>
    <t>Agrafador</t>
  </si>
  <si>
    <t>P007</t>
  </si>
  <si>
    <t>Envelopes</t>
  </si>
  <si>
    <t>P008</t>
  </si>
  <si>
    <t>Bloco notas</t>
  </si>
  <si>
    <t>P009</t>
  </si>
  <si>
    <t>Etiquetas</t>
  </si>
  <si>
    <t>P010</t>
  </si>
  <si>
    <t>Corretor</t>
  </si>
  <si>
    <t>P011</t>
  </si>
  <si>
    <t>Tesoura</t>
  </si>
  <si>
    <t>P012</t>
  </si>
  <si>
    <t>Cola stick</t>
  </si>
  <si>
    <t>P013</t>
  </si>
  <si>
    <t>Régua</t>
  </si>
  <si>
    <t>P014</t>
  </si>
  <si>
    <t>Calculadora</t>
  </si>
  <si>
    <t>P015</t>
  </si>
  <si>
    <t>Pen USB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</si>
  <si>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</si>
  <si>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</si>
  <si>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</si>
  <si>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</si>
  <si>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</si>
  <si>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</si>
  <si>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</si>
  <si>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</si>
  <si>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</si>
  <si>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</si>
  <si>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</si>
  <si>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</si>
  <si>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</si>
  <si>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</si>
  <si>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</si>
  <si>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Análise: As três fórmulas (Subtotal, Valor desconto e Total líquido) alteraram todas as referências ao ser copiadas, pois usam referências relativas. Registo 1 (linha 6): G6=D6*E6; H6=G6*F6; I6=G6-H6. Registo 30 (linha 35): G35=D35*E35; H35=G35*F35; I35=G35-H35. As referências mudaram porque o Excel ajusta automaticamente as linhas ao copiar para baixo.</t>
  </si>
  <si>
    <t>TI06 — Referências absolutas</t>
  </si>
  <si>
    <t>Aplicar constantes a vários registos sem alterar a célula onde cada taxa está guardada.</t>
  </si>
  <si>
    <t>Parâmetro</t>
  </si>
  <si>
    <t>Valor</t>
  </si>
  <si>
    <t>Tarefa: calcule o desconto adicional sobre o subtotal, o valor de IVA após desconto e o total final com portes. As células B5, B6 e B7 devem permanecer constantes ao copiar as fórmulas.</t>
  </si>
  <si>
    <t>Taxa de IVA</t>
  </si>
  <si>
    <t>Desconto adicional</t>
  </si>
  <si>
    <t>Portes fixos</t>
  </si>
  <si>
    <t>Base tributável</t>
  </si>
  <si>
    <t>IVA</t>
  </si>
  <si>
    <t>Portes</t>
  </si>
  <si>
    <t>Total final</t>
  </si>
  <si>
    <t>A01</t>
  </si>
  <si>
    <t>Teclado</t>
  </si>
  <si>
    <t>A02</t>
  </si>
  <si>
    <t>Rato</t>
  </si>
  <si>
    <t>A03</t>
  </si>
  <si>
    <t>Monitor</t>
  </si>
  <si>
    <t>A04</t>
  </si>
  <si>
    <t>Webcam</t>
  </si>
  <si>
    <t>A05</t>
  </si>
  <si>
    <t>Auriculares</t>
  </si>
  <si>
    <t>A06</t>
  </si>
  <si>
    <t>Hub USB</t>
  </si>
  <si>
    <t>A07</t>
  </si>
  <si>
    <t>SSD externo</t>
  </si>
  <si>
    <t>A08</t>
  </si>
  <si>
    <t>Suporte portátil</t>
  </si>
  <si>
    <t>A09</t>
  </si>
  <si>
    <t>Cabo HDMI</t>
  </si>
  <si>
    <t>A10</t>
  </si>
  <si>
    <t>Docking station</t>
  </si>
  <si>
    <t>A11</t>
  </si>
  <si>
    <t>Colunas</t>
  </si>
  <si>
    <t>A12</t>
  </si>
  <si>
    <t>Microfone</t>
  </si>
  <si>
    <t>A13</t>
  </si>
  <si>
    <t>Tapete rato</t>
  </si>
  <si>
    <t>A14</t>
  </si>
  <si>
    <t>Adaptador</t>
  </si>
  <si>
    <t>A15</t>
  </si>
  <si>
    <t>Carregador</t>
  </si>
  <si>
    <t>A16</t>
  </si>
  <si>
    <t>Router</t>
  </si>
  <si>
    <t>A17</t>
  </si>
  <si>
    <t>Switch</t>
  </si>
  <si>
    <t>A18</t>
  </si>
  <si>
    <t>Scanner</t>
  </si>
  <si>
    <t>A19</t>
  </si>
  <si>
    <t>Impressora</t>
  </si>
  <si>
    <t>A20</t>
  </si>
  <si>
    <t>Projetor</t>
  </si>
  <si>
    <t>Verificação: Ao alterar temporariamente o IVA em B5 para 20% (0.20), todos os valores da coluna H e do Total final se atualizam automaticamente, porque todas as fórmulas referenciam $B$5. A referência deve ser absoluta porque o IVA é uma constante partilhada por todas as linhas — se fosse relativa, ao copiar a fórmula para baixo, cada linha referenciaria uma célula diferente (B6, B7, B8...) em vez de manter sempre B5.</t>
  </si>
  <si>
    <t>TI06 — Referências mistas</t>
  </si>
  <si>
    <t>Construir uma grelha em que a coluna do preço-base e a linha da percentagem ficam parcialmente fixas.</t>
  </si>
  <si>
    <t>Na célula C8, escreva uma única fórmula que possa ser copiada para a direita e para baixo. A referência ao preço-base deve fixar a coluna; a referência à percentagem deve fixar a linha.</t>
  </si>
  <si>
    <t>Preço-base</t>
  </si>
  <si>
    <t>Mochila</t>
  </si>
  <si>
    <t>Pasta</t>
  </si>
  <si>
    <t>Agenda</t>
  </si>
  <si>
    <t>Estojo</t>
  </si>
  <si>
    <t>Candeeiro</t>
  </si>
  <si>
    <t>Cadeira</t>
  </si>
  <si>
    <t>Secretária</t>
  </si>
  <si>
    <t>Armário</t>
  </si>
  <si>
    <t>Quadro branco</t>
  </si>
  <si>
    <t>Destruidor papel</t>
  </si>
  <si>
    <t>Elemento</t>
  </si>
  <si>
    <t>Referência usada</t>
  </si>
  <si>
    <t>O que fica fixo?</t>
  </si>
  <si>
    <t>O que varia?</t>
  </si>
  <si>
    <t>Fórmula inicial</t>
  </si>
  <si>
    <t>Fórmula após direita</t>
  </si>
  <si>
    <t>Fórmula após baixo</t>
  </si>
  <si>
    <t>Conclusão</t>
  </si>
  <si>
    <t>$B8 (mista: coluna fixa, linha variável)</t>
  </si>
  <si>
    <t>Coluna B</t>
  </si>
  <si>
    <t>Linha (ao copiar para baixo)</t>
  </si>
  <si>
    <t xml:space="preserve"> =$B9*(1-C$7) — linha avança para 9</t>
  </si>
  <si>
    <t xml:space="preserve"> =$B8*(1-D$7) — coluna avança para D</t>
  </si>
  <si>
    <t>Fixa coluna do preço; linha adapta-se ao produto</t>
  </si>
  <si>
    <t>Percentagem</t>
  </si>
  <si>
    <t>C$7 (mista: linha fixa, coluna variável)</t>
  </si>
  <si>
    <t>Linha 7</t>
  </si>
  <si>
    <t>Coluna (ao copiar para a direita)</t>
  </si>
  <si>
    <t>Fixa linha da percentagem; coluna adapta-se ao desconto</t>
  </si>
  <si>
    <t>Conclusão: Relativa (C8) — muda tudo ao copiar; Absoluta ($B$8) — nada muda; Mista $B8 — fixa coluna, linha varia; Mista C$7 — fixa linha, coluna varia. Para uma matriz semelhante, as referências mistas são a escolha correta: permitem escrever uma única fórmula e copiá-la para toda a grelha sem erros.</t>
  </si>
  <si>
    <t>TI06 — Diagnóstico e auditoria de fórmulas</t>
  </si>
  <si>
    <t>Interpretar problemas, identificar causas prováveis e escrever a correção adequada.</t>
  </si>
  <si>
    <t>As mensagens surgem como texto para que o ficheiro-base permaneça estável. Reproduza cada situação na zona de teste, observe o comportamento do Excel e registe a correção.</t>
  </si>
  <si>
    <t>Dados disponíveis</t>
  </si>
  <si>
    <t>Fórmula problemática</t>
  </si>
  <si>
    <t>Mensagem/sintoma</t>
  </si>
  <si>
    <t>Causa provável</t>
  </si>
  <si>
    <t>Correção / fórmula corrigida</t>
  </si>
  <si>
    <t>Precedentes</t>
  </si>
  <si>
    <t>Dependentes</t>
  </si>
  <si>
    <t>Teste final</t>
  </si>
  <si>
    <t>1</t>
  </si>
  <si>
    <t>Célula demasiado estreita</t>
  </si>
  <si>
    <t>=B8*C8</t>
  </si>
  <si>
    <t>#####</t>
  </si>
  <si>
    <t>A coluna está demasiado estreita para mostrar o número. Não é um erro de cálculo.</t>
  </si>
  <si>
    <t>Alargar a coluna — fórmula B8*C8 está correta</t>
  </si>
  <si>
    <t>B8, C8</t>
  </si>
  <si>
    <t>Nenhum (fórmula está correta)</t>
  </si>
  <si>
    <t>Alargar a coluna até o valor ser visível</t>
  </si>
  <si>
    <t>2</t>
  </si>
  <si>
    <t>Valor 180 e divisor 0</t>
  </si>
  <si>
    <t>=B9/C9</t>
  </si>
  <si>
    <t>#DIV/0!</t>
  </si>
  <si>
    <t>Divisão por zero: o divisor (C9) é 0, o que é matematicamente impossível.</t>
  </si>
  <si>
    <t>B9, C9</t>
  </si>
  <si>
    <t>Células que usam o resultado</t>
  </si>
  <si>
    <t>Substituir C9 por valor diferente de 0</t>
  </si>
  <si>
    <t>3</t>
  </si>
  <si>
    <t>Quantidade 12; preço 8,50</t>
  </si>
  <si>
    <t>=B10xC10</t>
  </si>
  <si>
    <t>#NOME?</t>
  </si>
  <si>
    <t>Operador inválido: 'x' não é reconhecido pelo Excel. Usar * para multiplicação.</t>
  </si>
  <si>
    <t>Corrigir para B10*C10</t>
  </si>
  <si>
    <t>B10, C10</t>
  </si>
  <si>
    <t>Nenhum (após correção)</t>
  </si>
  <si>
    <t>Resultado correto: 12×8,50=102</t>
  </si>
  <si>
    <t>4</t>
  </si>
  <si>
    <t>Quantidade escrita como texto</t>
  </si>
  <si>
    <t>=B11*C11</t>
  </si>
  <si>
    <t>#VALOR!</t>
  </si>
  <si>
    <t>O valor em B11 é texto ('doze'), não número. O Excel não consegue multiplicar texto.</t>
  </si>
  <si>
    <t>Substituir 'doze' por 12 em B11, depois usar B11*C11</t>
  </si>
  <si>
    <t>B11, C11</t>
  </si>
  <si>
    <t>5</t>
  </si>
  <si>
    <t>Coluna original eliminada</t>
  </si>
  <si>
    <t>=#REF!*C12</t>
  </si>
  <si>
    <t>#REF!</t>
  </si>
  <si>
    <t>A coluna referenciada foi eliminada, tornando a referência inválida (#REF!).</t>
  </si>
  <si>
    <t>Recriar a fórmula com referência à coluna existente correta</t>
  </si>
  <si>
    <t>Coluna eliminada (já não existe)</t>
  </si>
  <si>
    <t>C12 (dependente do resultado)</t>
  </si>
  <si>
    <t>Reescrever a fórmula apontando para a coluna correta</t>
  </si>
  <si>
    <t>6</t>
  </si>
  <si>
    <t>Taxa em B5 copiada sem fixar</t>
  </si>
  <si>
    <t>=D13*B5</t>
  </si>
  <si>
    <t>resultado incoerente</t>
  </si>
  <si>
    <t>A taxa em B5 não está fixada com $. Ao copiar, a referência desloca-se para B6, B7, etc.</t>
  </si>
  <si>
    <t>Usar D13*$B$5 para fixar a taxa</t>
  </si>
  <si>
    <t>D13, $B$5</t>
  </si>
  <si>
    <t>Alterar IVA em B5 e confirmar que todos os resultados se atualizam</t>
  </si>
  <si>
    <t>7</t>
  </si>
  <si>
    <t>Fórmula copiada a partir da linha errada</t>
  </si>
  <si>
    <t>=B13*C13</t>
  </si>
  <si>
    <t>referências deslocadas</t>
  </si>
  <si>
    <t>A fórmula foi copiada a partir de uma linha errada, deslocando as referências.</t>
  </si>
  <si>
    <t>Verificar a linha de origem e reescrever a fórmula correta</t>
  </si>
  <si>
    <t>Células da linha de origem</t>
  </si>
  <si>
    <t>Células que dependem do resultado</t>
  </si>
  <si>
    <t>Apagar e reescrever a fórmula na linha correta</t>
  </si>
  <si>
    <t>Teste</t>
  </si>
  <si>
    <t>Valor 1</t>
  </si>
  <si>
    <t>Valor 2</t>
  </si>
  <si>
    <t>Valor 3</t>
  </si>
  <si>
    <t xml:space="preserve"> =B16/C16  → #DIV/0! (divisor é 0)</t>
  </si>
  <si>
    <t xml:space="preserve"> =B17*C17  → #VALOR! (B17 é texto)</t>
  </si>
  <si>
    <t>Corrigir B17: substituir 'doze' por 12</t>
  </si>
  <si>
    <t>Texto × número</t>
  </si>
  <si>
    <t>doze</t>
  </si>
  <si>
    <t xml:space="preserve"> =D18*B18  → resultado incoerente (taxa não fixada)</t>
  </si>
  <si>
    <t xml:space="preserve"> =D18*$B$5  → correto (taxa fixada com $)</t>
  </si>
  <si>
    <t>Taxa sem fixar</t>
  </si>
  <si>
    <t xml:space="preserve"> =D19*$B$5  → correto</t>
  </si>
  <si>
    <t>Taxa fixada</t>
  </si>
  <si>
    <t xml:space="preserve"> =B20+C20*D20  → 244 (multiplica primeiro)</t>
  </si>
  <si>
    <t xml:space="preserve"> =(B20+C20)*D20  → 744 (parênteses primeiro)</t>
  </si>
  <si>
    <t>Ordem sem parênteses</t>
  </si>
  <si>
    <t xml:space="preserve"> =(B21+C21)*D21  → 744</t>
  </si>
  <si>
    <t xml:space="preserve"> =B21+C21*D21  → 244</t>
  </si>
  <si>
    <t>Ordem com parênteses</t>
  </si>
  <si>
    <t xml:space="preserve"> =B22+C22  → ##### (coluna estreita)</t>
  </si>
  <si>
    <t>Alargar a coluna para ver o resultado</t>
  </si>
  <si>
    <t>Coluna estreita</t>
  </si>
  <si>
    <t>Usar durante a auditoria: Mostrar Fórmulas, Rastrear Precedentes, Rastrear Dependentes e Avaliar Fórmula. Registe pelo menos duas situações em que estas ferramentas ajudaram a encontrar o problema.</t>
  </si>
  <si>
    <t>Desafio integrado — Orçamento de equipamento</t>
  </si>
  <si>
    <t>Aplicar autonomamente operadores e os três tipos de referência, sem instruções célula a célula.</t>
  </si>
  <si>
    <t>Construa as fórmulas necessárias. Use referências relativas nos cálculos por linha, absolutas para os parâmetros e mistas na grelha de cenários. Distribua a entrega fixa pelas 12 linhas, para que seja contabilizada apenas uma vez no total do orçamento.</t>
  </si>
  <si>
    <t>Desconto global</t>
  </si>
  <si>
    <t>Entrega fixa</t>
  </si>
  <si>
    <t>N.º de linhas do orçamento</t>
  </si>
  <si>
    <t>Equipamento</t>
  </si>
  <si>
    <t>Desconto</t>
  </si>
  <si>
    <t>Base</t>
  </si>
  <si>
    <t>Parcela da entrega</t>
  </si>
  <si>
    <t>Total</t>
  </si>
  <si>
    <t>E01</t>
  </si>
  <si>
    <t>Portátil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</si>
  <si>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</si>
  <si>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</si>
  <si>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</si>
  <si>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</si>
  <si>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</si>
  <si>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</si>
  <si>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</si>
  <si>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</si>
  <si>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</si>
  <si>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</si>
  <si>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</si>
  <si>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UPS</t>
  </si>
  <si>
    <t>Métrica</t>
  </si>
  <si>
    <t>Total antes de IVA</t>
  </si>
  <si>
    <t>Entrega</t>
  </si>
  <si>
    <t>Justificação: Referência relativa — C10 em =C10*D10 (Subtotal): linha e coluna mudam ao copiar. Referência absoluta — $B$5 em =G10*$B$5 (IVA): taxa fixa, nunca muda. Referência mista $B8 — fixa coluna B (preço-base) mas linha varia ao copiar para baixo. Referência mista C$23 — fixa linha 23 (percentagem) mas coluna varia ao copiar para a direita. Verificação 1: E01 Subtotal = 4×749 = 2996,00 ✓. Verificação 2: Entrega total = 12 × (18÷12) = 18,00 ✓ (igual ao parâmetro $B$7).</t>
  </si>
  <si>
    <t>Verificação final — Livro 3</t>
  </si>
  <si>
    <t>Confirmar o trabalho concluído e registar apenas as dificuldades relevantes.</t>
  </si>
  <si>
    <t>Critério</t>
  </si>
  <si>
    <t>Concluído?</t>
  </si>
  <si>
    <t>Célula/exemplo</t>
  </si>
  <si>
    <t>Dificuldade encontrada</t>
  </si>
  <si>
    <t>Correção efetuada</t>
  </si>
  <si>
    <t>TI05</t>
  </si>
  <si>
    <t>Usei corretamente +, −, × e ÷</t>
  </si>
  <si>
    <t>Expliquei a ordem de cálculo e o efeito dos parênteses</t>
  </si>
  <si>
    <t>Criei e copiei fórmulas com referências relativas nas 30 encomendas</t>
  </si>
  <si>
    <t>Comparei fórmulas e resultados em linhas afastadas</t>
  </si>
  <si>
    <t>TI06</t>
  </si>
  <si>
    <t>Fixei as células das taxas com referências absolutas</t>
  </si>
  <si>
    <t>Testei a alteração temporária da taxa de IVA</t>
  </si>
  <si>
    <t>Construí a matriz com as duas referências mistas</t>
  </si>
  <si>
    <t>Distingui referência relativa, absoluta e mista</t>
  </si>
  <si>
    <t>Reproduzi e corrigi os casos de auditoria</t>
  </si>
  <si>
    <t>Usei ferramentas de verificação de fórmulas</t>
  </si>
  <si>
    <t>Desafio</t>
  </si>
  <si>
    <t>A entrega fixa é contabilizada apenas uma vez no orçamento</t>
  </si>
  <si>
    <t>Construí a grelha de cenários a partir da coluna Base</t>
  </si>
  <si>
    <t>Final</t>
  </si>
  <si>
    <t>Não existem erros de fórmula por resolver</t>
  </si>
  <si>
    <t>Guardei os ficheiros com o nome indicado no enunciado</t>
  </si>
  <si>
    <t>Notas finais / aspetos a rever:</t>
  </si>
  <si>
    <t>Corrigir C9 para um valor diferente de 0 e usar =B9/C9</t>
  </si>
  <si>
    <t>Corrigir o divisor para um valor diferente de 0 e usar =B16/C16</t>
  </si>
  <si>
    <t>CÁLCULOS!E6:E11</t>
  </si>
  <si>
    <t>Operadores aritméticos aplicados diretamente nas fórmulas.</t>
  </si>
  <si>
    <t>CÁLCULOS!E15:G20</t>
  </si>
  <si>
    <t>Precedência normal e utilização de parênteses verificadas.</t>
  </si>
  <si>
    <t>ENCOMENDAS!G6:I35</t>
  </si>
  <si>
    <t>Referências relativas preenchidas nas 30 encomendas.</t>
  </si>
  <si>
    <t>ENCOMENDAS!G6:I6 e G35:I35</t>
  </si>
  <si>
    <t>Primeira e última linhas comparadas e coerentes.</t>
  </si>
  <si>
    <t>TAXAS FIXAS!F10:J29</t>
  </si>
  <si>
    <t>Taxas e portes usam referências absolutas a B5:B7.</t>
  </si>
  <si>
    <t>TAXAS FIXAS!B5 e G10:G29</t>
  </si>
  <si>
    <t>Alteração da taxa de IVA refletida em todas as linhas.</t>
  </si>
  <si>
    <t>MATRIZ MISTA!C8:H19</t>
  </si>
  <si>
    <t>A percentagem não variava nas colunas.</t>
  </si>
  <si>
    <t>Corrigido: coluna do preço fixa e coluna da percentagem variável.</t>
  </si>
  <si>
    <t>MATRIZ MISTA!B22:H23</t>
  </si>
  <si>
    <t>Exemplos de relativa, absoluta e mista identificados.</t>
  </si>
  <si>
    <t>AUDITORIA!A8:I14</t>
  </si>
  <si>
    <t>Casos de erro mantidos com diagnóstico e correção explicados.</t>
  </si>
  <si>
    <t>Ferramentas de Auditoria de Fórmulas</t>
  </si>
  <si>
    <t>Verificação preparada para Mostrar Fórmulas e Rastrear Precedentes.</t>
  </si>
  <si>
    <t>DESAFIO!I10:I21</t>
  </si>
  <si>
    <t>Portes distribuídos pelas linhas sem duplicar o valor total.</t>
  </si>
  <si>
    <t>DESAFIO!B23:G27</t>
  </si>
  <si>
    <t>Cenários de desconto calculados apenas com operadores e referências.</t>
  </si>
  <si>
    <t>Todas as folhas</t>
  </si>
  <si>
    <t>Fórmulas revistas; erros visíveis na AUDITORIA são exemplos intencionais.</t>
  </si>
  <si>
    <t>UFCD0778_Livro3_Formulas_Referencias_RESOLUCAO.xlsx</t>
  </si>
  <si>
    <t>Ficheiro final guardado com o nome solicitado.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</si>
</sst>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* #,##0\ &quot;€&quot;_-;\-* #,##0\ &quot;€&quot;_-;_-* &quot;-&quot;\ &quot;€&quot;_-;_-@_-"/>
    <numFmt numFmtId="41" formatCode="_-* #,##0_-;\-* #,##0_-;_-* &quot;-&quot;_-;_-@_-"/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\€#,##0.00"/>
  </numFmts>
  <fonts count="14">
    <font>
      <sz val="11"/>
      <name val="Calibri"/>
    </font>
    <font>
      <sz val="10"/>
      <name val="Arial"/>
    </font>
    <font>
      <b/>
      <sz val="16"/>
      <color rgb="FFFFFFFF"/>
      <name val="Aptos Display"/>
    </font>
    <font>
      <i/>
      <sz val="10"/>
      <color rgb="FF1F2937"/>
      <name val="Aptos"/>
    </font>
    <font>
      <sz val="10"/>
      <color rgb="FF1F2937"/>
      <name val="Aptos"/>
    </font>
    <font>
      <b/>
      <sz val="10"/>
      <color rgb="FF1F2937"/>
      <name val="Aptos"/>
    </font>
    <font>
      <b/>
      <sz val="10"/>
      <color theme="0"/>
      <name val="Aptos"/>
    </font>
    <font>
      <sz val="10"/>
      <color rgb="FF000000"/>
      <name val="Calibri"/>
    </font>
    <font>
      <b/>
      <sz val="10"/>
      <color rgb="FF276221"/>
      <name val="Calibri"/>
    </font>
    <font>
      <sz val="11"/>
      <name val="Calibri"/>
    </font>
    <font>
      <sz val="10"/>
      <name val="Calibri"/>
    </font>
    <font>
      <sz val="10"/>
      <color rgb="FF276221"/>
      <name val="Calibri"/>
    </font>
    <font>
      <b/>
      <sz val="10"/>
      <color rgb="FFFFFFFF"/>
      <name val="Aptos"/>
    </font>
    <font>
      <b/>
      <sz val="11"/>
      <color rgb="FF276221"/>
      <name val="Cambria"/>
    </font>
  </fonts>
  <fills count="9">
    <fill>
      <patternFill patternType="none"/>
    </fill>
    <fill>
      <patternFill patternType="gray125"/>
    </fill>
    <fill>
      <patternFill patternType="solid">
        <fgColor rgb="FF185C37"/>
      </patternFill>
    </fill>
    <fill>
      <patternFill patternType="solid">
        <fgColor rgb="FFE2F0D9"/>
      </patternFill>
    </fill>
    <fill>
      <patternFill patternType="solid">
        <fgColor rgb="FF217346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D6B656"/>
      </left>
      <right style="thin">
        <color rgb="FFD6B656"/>
      </right>
      <top style="thin">
        <color rgb="FFD6B656"/>
      </top>
      <bottom style="thin">
        <color rgb="FFD6B656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ED7D31"/>
      </left>
      <right style="thin">
        <color rgb="FFED7D31"/>
      </right>
      <top style="thin">
        <color rgb="FFED7D31"/>
      </top>
      <bottom style="thin">
        <color rgb="FFED7D3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D6B656"/>
      </top>
      <bottom/>
      <diagonal/>
    </border>
    <border>
      <left/>
      <right style="thin">
        <color rgb="FFD6B656"/>
      </right>
      <top style="thin">
        <color rgb="FFD6B656"/>
      </top>
      <bottom/>
      <diagonal/>
    </border>
    <border>
      <left style="thin">
        <color rgb="FFD6B656"/>
      </left>
      <right/>
      <top/>
      <bottom/>
      <diagonal/>
    </border>
    <border>
      <left/>
      <right style="thin">
        <color rgb="FFD6B656"/>
      </right>
      <top/>
      <bottom/>
      <diagonal/>
    </border>
    <border>
      <left style="thin">
        <color rgb="FFD6B656"/>
      </left>
      <right/>
      <top/>
      <bottom style="thin">
        <color rgb="FFD6B656"/>
      </bottom>
      <diagonal/>
    </border>
    <border>
      <left/>
      <right/>
      <top/>
      <bottom style="thin">
        <color rgb="FFD6B656"/>
      </bottom>
      <diagonal/>
    </border>
    <border>
      <left/>
      <right style="thin">
        <color rgb="FFD6B656"/>
      </right>
      <top/>
      <bottom style="thin">
        <color rgb="FFD6B656"/>
      </bottom>
      <diagonal/>
    </border>
    <border>
      <left style="thin">
        <color rgb="FFD6B656"/>
      </left>
      <right/>
      <top style="thin">
        <color rgb="FFD6B656"/>
      </top>
      <bottom/>
      <diagonal/>
    </border>
  </borders>
  <cellStyleXfs count="6">
    <xf numFmtId="0" fontId="0" fillId="0" borderId="0"/>
    <xf numFmtId="43" fontId="1" fillId="0" borderId="0" applyBorder="0" applyAlignment="0" applyProtection="0"/>
    <xf numFmtId="41" fontId="1" fillId="0" borderId="0" applyBorder="0" applyAlignment="0" applyProtection="0"/>
    <xf numFmtId="44" fontId="1" fillId="0" borderId="0" applyBorder="0" applyAlignment="0" applyProtection="0"/>
    <xf numFmtId="42" fontId="1" fillId="0" borderId="0" applyBorder="0" applyAlignment="0" applyProtection="0"/>
    <xf numFmtId="9" fontId="1" fillId="0" borderId="0" applyBorder="0" applyAlignment="0" applyProtection="0"/>
  </cellStyleXfs>
  <cellXfs count="46">
    <xf numFmtId="0" fontId="0" fillId="0" borderId="0" xfId="0"/>
    <xf numFmtId="0" fontId="6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5" fillId="0" borderId="3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4" fontId="4" fillId="0" borderId="3" xfId="0" applyNumberFormat="1" applyFont="1" applyBorder="1" applyAlignment="1">
      <alignment vertical="center"/>
    </xf>
    <xf numFmtId="4" fontId="7" fillId="5" borderId="5" xfId="0" applyNumberFormat="1" applyFont="1" applyFill="1" applyBorder="1" applyAlignment="1">
      <alignment horizontal="right" vertical="center"/>
    </xf>
    <xf numFmtId="0" fontId="7" fillId="5" borderId="5" xfId="0" applyFont="1" applyFill="1" applyBorder="1" applyAlignment="1">
      <alignment horizontal="left" vertical="center"/>
    </xf>
    <xf numFmtId="0" fontId="8" fillId="5" borderId="5" xfId="0" applyFont="1" applyFill="1" applyBorder="1" applyAlignment="1">
      <alignment horizontal="center" vertical="center"/>
    </xf>
    <xf numFmtId="0" fontId="9" fillId="0" borderId="0" xfId="0" applyFont="1"/>
    <xf numFmtId="0" fontId="7" fillId="5" borderId="5" xfId="0" applyFont="1" applyFill="1" applyBorder="1" applyAlignment="1">
      <alignment horizontal="left" vertical="center" wrapText="1"/>
    </xf>
    <xf numFmtId="164" fontId="4" fillId="0" borderId="3" xfId="0" applyNumberFormat="1" applyFont="1" applyBorder="1" applyAlignment="1">
      <alignment vertical="center"/>
    </xf>
    <xf numFmtId="9" fontId="4" fillId="0" borderId="3" xfId="0" applyNumberFormat="1" applyFont="1" applyBorder="1" applyAlignment="1">
      <alignment vertical="center"/>
    </xf>
    <xf numFmtId="0" fontId="4" fillId="5" borderId="3" xfId="0" applyFont="1" applyFill="1" applyBorder="1" applyAlignment="1">
      <alignment vertical="center"/>
    </xf>
    <xf numFmtId="9" fontId="5" fillId="4" borderId="1" xfId="0" applyNumberFormat="1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vertical="top" wrapText="1"/>
    </xf>
    <xf numFmtId="0" fontId="10" fillId="5" borderId="5" xfId="0" applyFont="1" applyFill="1" applyBorder="1" applyAlignment="1">
      <alignment horizontal="left" vertical="center" wrapText="1"/>
    </xf>
    <xf numFmtId="0" fontId="10" fillId="4" borderId="5" xfId="0" applyFont="1" applyFill="1" applyBorder="1" applyAlignment="1">
      <alignment horizontal="left" vertical="center" wrapText="1"/>
    </xf>
    <xf numFmtId="0" fontId="11" fillId="0" borderId="5" xfId="0" applyFont="1" applyBorder="1" applyAlignment="1">
      <alignment horizontal="left" vertical="center" wrapText="1"/>
    </xf>
    <xf numFmtId="0" fontId="4" fillId="7" borderId="3" xfId="0" applyFont="1" applyFill="1" applyBorder="1" applyAlignment="1">
      <alignment vertical="center"/>
    </xf>
    <xf numFmtId="0" fontId="11" fillId="5" borderId="5" xfId="0" applyFont="1" applyFill="1" applyBorder="1" applyAlignment="1">
      <alignment horizontal="left" vertical="center" wrapText="1"/>
    </xf>
    <xf numFmtId="0" fontId="4" fillId="8" borderId="3" xfId="0" applyFont="1" applyFill="1" applyBorder="1" applyAlignment="1">
      <alignment vertical="center"/>
    </xf>
    <xf numFmtId="0" fontId="4" fillId="5" borderId="0" xfId="0" applyFont="1" applyFill="1" applyAlignment="1">
      <alignment vertical="center"/>
    </xf>
    <xf numFmtId="0" fontId="12" fillId="4" borderId="1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vertical="center"/>
    </xf>
    <xf numFmtId="0" fontId="13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vertical="center" wrapText="1"/>
    </xf>
    <xf numFmtId="0" fontId="10" fillId="5" borderId="5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0" xfId="0" applyFont="1" applyFill="1" applyAlignment="1">
      <alignment vertical="center" wrapText="1"/>
    </xf>
    <xf numFmtId="0" fontId="4" fillId="5" borderId="2" xfId="0" applyFont="1" applyFill="1" applyBorder="1" applyAlignment="1">
      <alignment vertical="center" wrapText="1"/>
    </xf>
    <xf numFmtId="0" fontId="5" fillId="6" borderId="4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vertical="top" wrapText="1"/>
    </xf>
    <xf numFmtId="0" fontId="4" fillId="5" borderId="13" xfId="0" applyFont="1" applyFill="1" applyBorder="1" applyAlignment="1">
      <alignment horizontal="left" vertical="center" wrapText="1"/>
    </xf>
    <xf numFmtId="0" fontId="4" fillId="5" borderId="6" xfId="0" applyFont="1" applyFill="1" applyBorder="1" applyAlignment="1">
      <alignment horizontal="left" vertical="center" wrapText="1"/>
    </xf>
    <xf numFmtId="0" fontId="4" fillId="5" borderId="7" xfId="0" applyFont="1" applyFill="1" applyBorder="1" applyAlignment="1">
      <alignment horizontal="left" vertical="center" wrapText="1"/>
    </xf>
    <xf numFmtId="0" fontId="4" fillId="5" borderId="8" xfId="0" applyFont="1" applyFill="1" applyBorder="1" applyAlignment="1">
      <alignment horizontal="left" vertical="center" wrapText="1"/>
    </xf>
    <xf numFmtId="0" fontId="4" fillId="5" borderId="0" xfId="0" applyFont="1" applyFill="1" applyAlignment="1">
      <alignment horizontal="left" vertical="center" wrapText="1"/>
    </xf>
    <xf numFmtId="0" fontId="4" fillId="5" borderId="9" xfId="0" applyFont="1" applyFill="1" applyBorder="1" applyAlignment="1">
      <alignment horizontal="left" vertical="center" wrapText="1"/>
    </xf>
    <xf numFmtId="0" fontId="4" fillId="5" borderId="10" xfId="0" applyFont="1" applyFill="1" applyBorder="1" applyAlignment="1">
      <alignment horizontal="left" vertical="center" wrapText="1"/>
    </xf>
    <xf numFmtId="0" fontId="4" fillId="5" borderId="11" xfId="0" applyFont="1" applyFill="1" applyBorder="1" applyAlignment="1">
      <alignment horizontal="left" vertical="center" wrapText="1"/>
    </xf>
    <xf numFmtId="0" fontId="4" fillId="5" borderId="12" xfId="0" applyFont="1" applyFill="1" applyBorder="1" applyAlignment="1">
      <alignment horizontal="left" vertical="center" wrapText="1"/>
    </xf>
  </cellXfs>
  <cellStyles count="6">
    <cellStyle name="Comma" xfId="1" xr:uid="{00000000-0005-0000-0000-000001000000}"/>
    <cellStyle name="Comma [0]" xfId="2" xr:uid="{00000000-0005-0000-0000-000002000000}"/>
    <cellStyle name="Currency" xfId="3" xr:uid="{00000000-0005-0000-0000-000003000000}"/>
    <cellStyle name="Currency [0]" xfId="4" xr:uid="{00000000-0005-0000-0000-000004000000}"/>
    <cellStyle name="Normal" xfId="0" builtinId="0"/>
    <cellStyle name="Percent" xfId="5" xr:uid="{00000000-0005-0000-0000-000005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76221"/>
      <rgbColor rgb="FF000080"/>
      <rgbColor rgb="FF808000"/>
      <rgbColor rgb="FF800080"/>
      <rgbColor rgb="FF217346"/>
      <rgbColor rgb="FFD6B656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ED7D31"/>
      <rgbColor rgb="FF666699"/>
      <rgbColor rgb="FFA6A6A6"/>
      <rgbColor rgb="FF185C37"/>
      <rgbColor rgb="FF339966"/>
      <rgbColor rgb="FF003300"/>
      <rgbColor rgb="FF333300"/>
      <rgbColor rgb="FF993300"/>
      <rgbColor rgb="FF993366"/>
      <rgbColor rgb="FF333399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showGridLines="0" tabSelected="1" workbookViewId="0">
      <selection sqref="A1:XFD2"/>
    </sheetView>
  </sheetViews>
  <sheetFormatPr defaultColWidth="8.7109375" defaultRowHeight="15"/>
  <cols>
    <col min="1" max="1" width="19" customWidth="1"/>
    <col min="2" max="2" width="74" customWidth="1"/>
    <col min="3" max="8" width="12" customWidth="1"/>
  </cols>
  <sheetData>
    <row r="1" spans="1:8" ht="20.25">
      <c r="A1" s="30" t="s">
        <v>0</v>
      </c>
      <c r="B1" s="30"/>
      <c r="C1" s="30"/>
      <c r="D1" s="30"/>
      <c r="E1" s="30"/>
      <c r="F1" s="30"/>
      <c r="G1" s="30"/>
      <c r="H1" s="30"/>
    </row>
    <row r="2" spans="1:8">
      <c r="A2" s="31" t="s">
        <v>1</v>
      </c>
      <c r="B2" s="31"/>
      <c r="C2" s="31"/>
      <c r="D2" s="31"/>
      <c r="E2" s="31"/>
      <c r="F2" s="31"/>
      <c r="G2" s="31"/>
      <c r="H2" s="31"/>
    </row>
    <row r="3" spans="1:8" ht="15" customHeight="1">
      <c r="A3" s="3"/>
      <c r="B3" s="3"/>
      <c r="C3" s="3"/>
      <c r="D3" s="3"/>
      <c r="E3" s="3"/>
      <c r="F3" s="3"/>
      <c r="G3" s="3"/>
      <c r="H3" s="3"/>
    </row>
    <row r="4" spans="1:8" ht="15" customHeight="1">
      <c r="A4" s="34" t="s">
        <v>2</v>
      </c>
      <c r="B4" s="34"/>
      <c r="C4" s="34"/>
      <c r="D4" s="34"/>
      <c r="E4" s="34"/>
      <c r="F4" s="34"/>
      <c r="G4" s="34"/>
      <c r="H4" s="34"/>
    </row>
    <row r="5" spans="1:8" ht="15" customHeight="1">
      <c r="A5" s="32" t="s">
        <v>3</v>
      </c>
      <c r="B5" s="32"/>
      <c r="C5" s="32"/>
      <c r="D5" s="32"/>
      <c r="E5" s="32"/>
      <c r="F5" s="32"/>
      <c r="G5" s="32"/>
      <c r="H5" s="32"/>
    </row>
    <row r="6" spans="1:8" ht="15" customHeight="1">
      <c r="A6" s="32"/>
      <c r="B6" s="32"/>
      <c r="C6" s="32"/>
      <c r="D6" s="32"/>
      <c r="E6" s="32"/>
      <c r="F6" s="32"/>
      <c r="G6" s="32"/>
      <c r="H6" s="32"/>
    </row>
    <row r="7" spans="1:8" ht="15" customHeight="1">
      <c r="A7" s="3"/>
      <c r="B7" s="3"/>
      <c r="C7" s="3"/>
      <c r="D7" s="3"/>
      <c r="E7" s="3"/>
      <c r="F7" s="3"/>
      <c r="G7" s="3"/>
      <c r="H7" s="3"/>
    </row>
    <row r="8" spans="1:8" ht="15" customHeight="1">
      <c r="A8" s="2" t="s">
        <v>4</v>
      </c>
      <c r="B8" s="2" t="s">
        <v>5</v>
      </c>
      <c r="C8" s="3"/>
      <c r="D8" s="3"/>
      <c r="E8" s="3"/>
      <c r="F8" s="3"/>
      <c r="G8" s="3"/>
      <c r="H8" s="3"/>
    </row>
    <row r="9" spans="1:8" ht="15" customHeight="1">
      <c r="A9" s="4" t="s">
        <v>6</v>
      </c>
      <c r="B9" s="5" t="s">
        <v>7</v>
      </c>
      <c r="C9" s="3"/>
      <c r="D9" s="3"/>
      <c r="E9" s="3"/>
      <c r="F9" s="3"/>
      <c r="G9" s="3"/>
      <c r="H9" s="3"/>
    </row>
    <row r="10" spans="1:8" ht="15" customHeight="1">
      <c r="A10" s="4" t="s">
        <v>8</v>
      </c>
      <c r="B10" s="5" t="s">
        <v>9</v>
      </c>
      <c r="C10" s="3"/>
      <c r="D10" s="3"/>
      <c r="E10" s="3"/>
      <c r="F10" s="3"/>
      <c r="G10" s="3"/>
      <c r="H10" s="3"/>
    </row>
    <row r="11" spans="1:8" ht="15" customHeight="1">
      <c r="A11" s="4" t="s">
        <v>10</v>
      </c>
      <c r="B11" s="5" t="s">
        <v>11</v>
      </c>
      <c r="C11" s="3"/>
      <c r="D11" s="3"/>
      <c r="E11" s="3"/>
      <c r="F11" s="3"/>
      <c r="G11" s="3"/>
      <c r="H11" s="3"/>
    </row>
    <row r="12" spans="1:8" ht="15" customHeight="1">
      <c r="A12" s="4" t="s">
        <v>12</v>
      </c>
      <c r="B12" s="5" t="s">
        <v>13</v>
      </c>
      <c r="C12" s="3"/>
      <c r="D12" s="3"/>
      <c r="E12" s="3"/>
      <c r="F12" s="3"/>
      <c r="G12" s="3"/>
      <c r="H12" s="3"/>
    </row>
    <row r="13" spans="1:8" ht="15" customHeight="1">
      <c r="A13" s="4" t="s">
        <v>14</v>
      </c>
      <c r="B13" s="5" t="s">
        <v>15</v>
      </c>
      <c r="C13" s="3"/>
      <c r="D13" s="3"/>
      <c r="E13" s="3"/>
      <c r="F13" s="3"/>
      <c r="G13" s="3"/>
      <c r="H13" s="3"/>
    </row>
    <row r="14" spans="1:8" ht="15" customHeight="1">
      <c r="A14" s="4" t="s">
        <v>16</v>
      </c>
      <c r="B14" s="5" t="s">
        <v>17</v>
      </c>
      <c r="C14" s="3"/>
      <c r="D14" s="3"/>
      <c r="E14" s="3"/>
      <c r="F14" s="3"/>
      <c r="G14" s="3"/>
      <c r="H14" s="3"/>
    </row>
    <row r="15" spans="1:8" ht="15" customHeight="1">
      <c r="A15" s="3"/>
      <c r="B15" s="3"/>
      <c r="C15" s="3"/>
      <c r="D15" s="3"/>
      <c r="E15" s="3"/>
      <c r="F15" s="3"/>
      <c r="G15" s="3"/>
      <c r="H15" s="3"/>
    </row>
    <row r="16" spans="1:8" ht="15" customHeight="1">
      <c r="A16" s="34" t="s">
        <v>18</v>
      </c>
      <c r="B16" s="34"/>
      <c r="C16" s="34"/>
      <c r="D16" s="34"/>
      <c r="E16" s="34"/>
      <c r="F16" s="34"/>
      <c r="G16" s="34"/>
      <c r="H16" s="34"/>
    </row>
    <row r="17" spans="1:8" ht="15" customHeight="1">
      <c r="A17" s="32" t="s">
        <v>19</v>
      </c>
      <c r="B17" s="32"/>
      <c r="C17" s="32"/>
      <c r="D17" s="32"/>
      <c r="E17" s="32"/>
      <c r="F17" s="32"/>
      <c r="G17" s="32"/>
      <c r="H17" s="32"/>
    </row>
    <row r="18" spans="1:8" ht="15" customHeight="1">
      <c r="A18" s="32"/>
      <c r="B18" s="32"/>
      <c r="C18" s="32"/>
      <c r="D18" s="32"/>
      <c r="E18" s="32"/>
      <c r="F18" s="32"/>
      <c r="G18" s="32"/>
      <c r="H18" s="32"/>
    </row>
    <row r="19" spans="1:8" ht="15" customHeight="1">
      <c r="A19" s="32"/>
      <c r="B19" s="32"/>
      <c r="C19" s="32"/>
      <c r="D19" s="32"/>
      <c r="E19" s="32"/>
      <c r="F19" s="32"/>
      <c r="G19" s="32"/>
      <c r="H19" s="32"/>
    </row>
    <row r="20" spans="1:8" ht="15" customHeight="1">
      <c r="A20" s="32"/>
      <c r="B20" s="32"/>
      <c r="C20" s="32"/>
      <c r="D20" s="32"/>
      <c r="E20" s="32"/>
      <c r="F20" s="32"/>
      <c r="G20" s="32"/>
      <c r="H20" s="32"/>
    </row>
    <row r="21" spans="1:8" ht="15" customHeight="1">
      <c r="A21" s="32"/>
      <c r="B21" s="32"/>
      <c r="C21" s="32"/>
      <c r="D21" s="32"/>
      <c r="E21" s="32"/>
      <c r="F21" s="32"/>
      <c r="G21" s="32"/>
      <c r="H21" s="32"/>
    </row>
    <row r="22" spans="1:8" ht="15" customHeight="1">
      <c r="A22" s="3"/>
      <c r="B22" s="3"/>
      <c r="C22" s="3"/>
      <c r="D22" s="3"/>
      <c r="E22" s="3"/>
      <c r="F22" s="3"/>
      <c r="G22" s="3"/>
      <c r="H22" s="3"/>
    </row>
    <row r="23" spans="1:8" ht="15" customHeight="1">
      <c r="A23" s="33" t="s">
        <v>20</v>
      </c>
      <c r="B23" s="33"/>
      <c r="C23" s="33"/>
      <c r="D23" s="33"/>
      <c r="E23" s="33"/>
      <c r="F23" s="33"/>
      <c r="G23" s="33"/>
      <c r="H23" s="33"/>
    </row>
    <row r="24" spans="1:8" ht="15" customHeight="1">
      <c r="A24" s="33"/>
      <c r="B24" s="33"/>
      <c r="C24" s="33"/>
      <c r="D24" s="33"/>
      <c r="E24" s="33"/>
      <c r="F24" s="33"/>
      <c r="G24" s="33"/>
      <c r="H24" s="33"/>
    </row>
  </sheetData>
  <mergeCells count="7">
    <mergeCell ref="A17:H21"/>
    <mergeCell ref="A23:H24"/>
    <mergeCell ref="A1:H1"/>
    <mergeCell ref="A2:H2"/>
    <mergeCell ref="A4:H4"/>
    <mergeCell ref="A5:H6"/>
    <mergeCell ref="A16:H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4"/>
  <sheetViews>
    <sheetView showGridLines="0" workbookViewId="0">
      <selection sqref="A1:XFD2"/>
    </sheetView>
  </sheetViews>
  <sheetFormatPr defaultColWidth="8.7109375" defaultRowHeight="15"/>
  <cols>
    <col min="1" max="1" width="20" customWidth="1"/>
    <col min="2" max="4" width="13" customWidth="1"/>
    <col min="5" max="5" width="21" customWidth="1"/>
    <col min="6" max="6" width="15" customWidth="1"/>
    <col min="7" max="7" width="17.28515625" customWidth="1"/>
    <col min="8" max="8" width="32.7109375" bestFit="1" customWidth="1"/>
  </cols>
  <sheetData>
    <row r="1" spans="1:8" ht="20.25">
      <c r="A1" s="30" t="s">
        <v>21</v>
      </c>
      <c r="B1" s="30"/>
      <c r="C1" s="30"/>
      <c r="D1" s="30"/>
      <c r="E1" s="30"/>
      <c r="F1" s="30"/>
      <c r="G1" s="30"/>
      <c r="H1" s="30"/>
    </row>
    <row r="2" spans="1:8">
      <c r="A2" s="31" t="s">
        <v>22</v>
      </c>
      <c r="B2" s="31"/>
      <c r="C2" s="31"/>
      <c r="D2" s="31"/>
      <c r="E2" s="31"/>
      <c r="F2" s="31"/>
      <c r="G2" s="31"/>
      <c r="H2" s="31"/>
    </row>
    <row r="3" spans="1:8" ht="15" customHeight="1">
      <c r="A3" s="3"/>
      <c r="B3" s="3"/>
      <c r="C3" s="3"/>
      <c r="D3" s="3"/>
      <c r="E3" s="3"/>
      <c r="F3" s="3"/>
      <c r="G3" s="3"/>
      <c r="H3" s="3"/>
    </row>
    <row r="4" spans="1:8" ht="15" customHeight="1">
      <c r="A4" s="35" t="s">
        <v>23</v>
      </c>
      <c r="B4" s="35"/>
      <c r="C4" s="35"/>
      <c r="D4" s="35"/>
      <c r="E4" s="35"/>
      <c r="F4" s="35"/>
      <c r="G4" s="35"/>
      <c r="H4" s="35"/>
    </row>
    <row r="5" spans="1:8" ht="25.5" customHeight="1">
      <c r="A5" s="1" t="s">
        <v>24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29</v>
      </c>
      <c r="G5" s="1" t="s">
        <v>30</v>
      </c>
      <c r="H5" s="1" t="s">
        <v>31</v>
      </c>
    </row>
    <row r="6" spans="1:8" ht="15" customHeight="1">
      <c r="A6" s="5" t="s">
        <v>32</v>
      </c>
      <c r="B6" s="6">
        <v>128</v>
      </c>
      <c r="C6" s="6">
        <v>37</v>
      </c>
      <c r="D6" s="5" t="s">
        <v>33</v>
      </c>
      <c r="E6" s="7">
        <f>B6+C6</f>
        <v>165</v>
      </c>
      <c r="F6" s="7">
        <f>B6+C6</f>
        <v>165</v>
      </c>
      <c r="G6" s="8" t="s">
        <v>34</v>
      </c>
      <c r="H6" s="9" t="s">
        <v>35</v>
      </c>
    </row>
    <row r="7" spans="1:8" ht="15" customHeight="1">
      <c r="A7" s="5" t="s">
        <v>36</v>
      </c>
      <c r="B7" s="6">
        <v>245</v>
      </c>
      <c r="C7" s="6">
        <v>89</v>
      </c>
      <c r="D7" s="5" t="s">
        <v>37</v>
      </c>
      <c r="E7" s="7">
        <f>B7-C7</f>
        <v>156</v>
      </c>
      <c r="F7" s="7">
        <f>B7-C7</f>
        <v>156</v>
      </c>
      <c r="G7" s="8" t="s">
        <v>38</v>
      </c>
      <c r="H7" s="9" t="s">
        <v>35</v>
      </c>
    </row>
    <row r="8" spans="1:8" ht="15" customHeight="1">
      <c r="A8" s="5" t="s">
        <v>39</v>
      </c>
      <c r="B8" s="6">
        <v>18</v>
      </c>
      <c r="C8" s="6">
        <v>24</v>
      </c>
      <c r="D8" s="5" t="s">
        <v>40</v>
      </c>
      <c r="E8" s="7">
        <f>B8*C8</f>
        <v>432</v>
      </c>
      <c r="F8" s="7">
        <f>B8*C8</f>
        <v>432</v>
      </c>
      <c r="G8" s="8" t="s">
        <v>41</v>
      </c>
      <c r="H8" s="9" t="s">
        <v>35</v>
      </c>
    </row>
    <row r="9" spans="1:8" ht="15" customHeight="1">
      <c r="A9" s="5" t="s">
        <v>42</v>
      </c>
      <c r="B9" s="6">
        <v>960</v>
      </c>
      <c r="C9" s="6">
        <v>32</v>
      </c>
      <c r="D9" s="5" t="s">
        <v>43</v>
      </c>
      <c r="E9" s="7">
        <f>B9/C9</f>
        <v>30</v>
      </c>
      <c r="F9" s="7">
        <f>B9/C9</f>
        <v>30</v>
      </c>
      <c r="G9" s="8" t="s">
        <v>44</v>
      </c>
      <c r="H9" s="9" t="s">
        <v>35</v>
      </c>
    </row>
    <row r="10" spans="1:8" ht="15" customHeight="1">
      <c r="A10" s="10" t="s">
        <v>45</v>
      </c>
      <c r="B10" s="6">
        <v>75</v>
      </c>
      <c r="C10" s="6">
        <v>12</v>
      </c>
      <c r="D10" s="5" t="s">
        <v>46</v>
      </c>
      <c r="E10" s="7">
        <f>B10*C10+25</f>
        <v>925</v>
      </c>
      <c r="F10" s="7">
        <f>B10*C10+25</f>
        <v>925</v>
      </c>
      <c r="G10" s="8" t="s">
        <v>47</v>
      </c>
      <c r="H10" s="9" t="s">
        <v>35</v>
      </c>
    </row>
    <row r="11" spans="1:8" ht="15" customHeight="1">
      <c r="A11" s="10" t="s">
        <v>45</v>
      </c>
      <c r="B11" s="6">
        <v>420</v>
      </c>
      <c r="C11" s="6">
        <v>15</v>
      </c>
      <c r="D11" s="5" t="s">
        <v>48</v>
      </c>
      <c r="E11" s="7">
        <f>B11/C11-10</f>
        <v>18</v>
      </c>
      <c r="F11" s="7">
        <f>B11/C11-10</f>
        <v>18</v>
      </c>
      <c r="G11" s="8" t="s">
        <v>49</v>
      </c>
      <c r="H11" s="9" t="s">
        <v>35</v>
      </c>
    </row>
    <row r="12" spans="1:8" ht="15" customHeight="1">
      <c r="A12" s="3"/>
      <c r="B12" s="3"/>
      <c r="C12" s="3"/>
      <c r="D12" s="3"/>
      <c r="E12" s="3"/>
      <c r="F12" s="3"/>
      <c r="G12" s="3"/>
      <c r="H12" s="3"/>
    </row>
    <row r="13" spans="1:8" ht="15" customHeight="1">
      <c r="A13" s="35" t="s">
        <v>50</v>
      </c>
      <c r="B13" s="35"/>
      <c r="C13" s="35"/>
      <c r="D13" s="35"/>
      <c r="E13" s="35"/>
      <c r="F13" s="35"/>
      <c r="G13" s="35"/>
      <c r="H13" s="35"/>
    </row>
    <row r="14" spans="1:8" ht="25.5" customHeight="1">
      <c r="A14" s="1" t="s">
        <v>51</v>
      </c>
      <c r="B14" s="1" t="s">
        <v>25</v>
      </c>
      <c r="C14" s="1" t="s">
        <v>26</v>
      </c>
      <c r="D14" s="1" t="s">
        <v>52</v>
      </c>
      <c r="E14" s="1" t="s">
        <v>53</v>
      </c>
      <c r="F14" s="1" t="s">
        <v>29</v>
      </c>
      <c r="G14" s="1" t="s">
        <v>54</v>
      </c>
      <c r="H14" s="1" t="s">
        <v>55</v>
      </c>
    </row>
    <row r="15" spans="1:8" ht="30" customHeight="1">
      <c r="A15" s="5" t="s">
        <v>56</v>
      </c>
      <c r="B15" s="5">
        <v>100</v>
      </c>
      <c r="C15" s="5">
        <v>24</v>
      </c>
      <c r="D15" s="5">
        <v>6</v>
      </c>
      <c r="E15" s="7">
        <f>B15+C15*D15</f>
        <v>244</v>
      </c>
      <c r="F15" s="7">
        <f>B15+C15*D15</f>
        <v>244</v>
      </c>
      <c r="G15" s="7">
        <f>B15+(C15*D15)</f>
        <v>244</v>
      </c>
      <c r="H15" s="11" t="s">
        <v>57</v>
      </c>
    </row>
    <row r="16" spans="1:8" ht="30" customHeight="1">
      <c r="A16" s="5" t="s">
        <v>58</v>
      </c>
      <c r="B16" s="5">
        <v>100</v>
      </c>
      <c r="C16" s="5">
        <v>24</v>
      </c>
      <c r="D16" s="5">
        <v>6</v>
      </c>
      <c r="E16" s="7">
        <f>(B16+C16)*D16</f>
        <v>744</v>
      </c>
      <c r="F16" s="7">
        <f>(B16+C16)*D16</f>
        <v>744</v>
      </c>
      <c r="G16" s="7">
        <f>(B16+C16)*D16</f>
        <v>744</v>
      </c>
      <c r="H16" s="11" t="s">
        <v>59</v>
      </c>
    </row>
    <row r="17" spans="1:8" ht="30" customHeight="1">
      <c r="A17" s="5" t="s">
        <v>60</v>
      </c>
      <c r="B17" s="5">
        <v>100</v>
      </c>
      <c r="C17" s="5">
        <v>24</v>
      </c>
      <c r="D17" s="5">
        <v>6</v>
      </c>
      <c r="E17" s="7">
        <f>B17-C17/D17</f>
        <v>96</v>
      </c>
      <c r="F17" s="7">
        <f>B17-C17/D17</f>
        <v>96</v>
      </c>
      <c r="G17" s="7">
        <f>B17-(C17/D17)</f>
        <v>96</v>
      </c>
      <c r="H17" s="11" t="s">
        <v>61</v>
      </c>
    </row>
    <row r="18" spans="1:8" ht="30" customHeight="1">
      <c r="A18" s="5" t="s">
        <v>62</v>
      </c>
      <c r="B18" s="5">
        <v>100</v>
      </c>
      <c r="C18" s="5">
        <v>24</v>
      </c>
      <c r="D18" s="5">
        <v>6</v>
      </c>
      <c r="E18" s="7">
        <f>(B18-C18)/D18</f>
        <v>12.666666666666666</v>
      </c>
      <c r="F18" s="7">
        <f>(B18-C18)/D18</f>
        <v>12.666666666666666</v>
      </c>
      <c r="G18" s="7">
        <f>(B18-C18)/D18</f>
        <v>12.666666666666666</v>
      </c>
      <c r="H18" s="11" t="s">
        <v>63</v>
      </c>
    </row>
    <row r="19" spans="1:8" ht="30" customHeight="1">
      <c r="A19" s="5" t="s">
        <v>64</v>
      </c>
      <c r="B19" s="5">
        <v>35</v>
      </c>
      <c r="C19" s="5">
        <v>8</v>
      </c>
      <c r="D19" s="5">
        <v>20</v>
      </c>
      <c r="E19" s="7">
        <f>B19*C19+D19</f>
        <v>300</v>
      </c>
      <c r="F19" s="7">
        <f>B19*C19+D19</f>
        <v>300</v>
      </c>
      <c r="G19" s="7">
        <f>(B19*C19)+D19</f>
        <v>300</v>
      </c>
      <c r="H19" s="11" t="s">
        <v>65</v>
      </c>
    </row>
    <row r="20" spans="1:8" ht="30" customHeight="1">
      <c r="A20" s="5" t="s">
        <v>66</v>
      </c>
      <c r="B20" s="5">
        <v>35</v>
      </c>
      <c r="C20" s="5">
        <v>8</v>
      </c>
      <c r="D20" s="5">
        <v>20</v>
      </c>
      <c r="E20" s="7">
        <f>B20*(C20+D20)</f>
        <v>980</v>
      </c>
      <c r="F20" s="7">
        <f>B20*(C20+D20)</f>
        <v>980</v>
      </c>
      <c r="G20" s="7">
        <f>B20*(C20+D20)</f>
        <v>980</v>
      </c>
      <c r="H20" s="11" t="s">
        <v>67</v>
      </c>
    </row>
    <row r="21" spans="1:8" ht="15" customHeight="1">
      <c r="A21" s="3"/>
      <c r="B21" s="3"/>
      <c r="C21" s="3"/>
      <c r="D21" s="3"/>
      <c r="E21" s="3"/>
      <c r="F21" s="3"/>
      <c r="G21" s="3"/>
      <c r="H21" s="3"/>
    </row>
    <row r="22" spans="1:8">
      <c r="A22" s="32" t="s">
        <v>68</v>
      </c>
      <c r="B22" s="32"/>
      <c r="C22" s="32"/>
      <c r="D22" s="32"/>
      <c r="E22" s="32"/>
      <c r="F22" s="32"/>
      <c r="G22" s="32"/>
      <c r="H22" s="32"/>
    </row>
    <row r="23" spans="1:8">
      <c r="A23" s="32"/>
      <c r="B23" s="32"/>
      <c r="C23" s="32"/>
      <c r="D23" s="32"/>
      <c r="E23" s="32"/>
      <c r="F23" s="32"/>
      <c r="G23" s="32"/>
      <c r="H23" s="32"/>
    </row>
    <row r="24" spans="1:8">
      <c r="A24" s="32"/>
      <c r="B24" s="32"/>
      <c r="C24" s="32"/>
      <c r="D24" s="32"/>
      <c r="E24" s="32"/>
      <c r="F24" s="32"/>
      <c r="G24" s="32"/>
      <c r="H24" s="32"/>
    </row>
  </sheetData>
  <mergeCells count="5">
    <mergeCell ref="A1:H1"/>
    <mergeCell ref="A2:H2"/>
    <mergeCell ref="A4:H4"/>
    <mergeCell ref="A13:H13"/>
    <mergeCell ref="A22:H2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9"/>
  <sheetViews>
    <sheetView showGridLines="0" workbookViewId="0">
      <selection sqref="A1:XFD4"/>
    </sheetView>
  </sheetViews>
  <sheetFormatPr defaultColWidth="8.7109375" defaultRowHeight="15"/>
  <cols>
    <col min="1" max="1" width="7" customWidth="1"/>
    <col min="2" max="2" width="11" customWidth="1"/>
    <col min="3" max="3" width="22" customWidth="1"/>
    <col min="4" max="4" width="12" customWidth="1"/>
    <col min="5" max="5" width="14" customWidth="1"/>
    <col min="6" max="6" width="12" customWidth="1"/>
    <col min="7" max="7" width="15" customWidth="1"/>
    <col min="8" max="9" width="16" customWidth="1"/>
    <col min="10" max="10" width="25" customWidth="1"/>
  </cols>
  <sheetData>
    <row r="1" spans="1:10" ht="20.25">
      <c r="A1" s="30" t="s">
        <v>69</v>
      </c>
      <c r="B1" s="30"/>
      <c r="C1" s="30"/>
      <c r="D1" s="30"/>
      <c r="E1" s="30"/>
      <c r="F1" s="30"/>
      <c r="G1" s="30"/>
      <c r="H1" s="30"/>
      <c r="I1" s="30"/>
      <c r="J1" s="30"/>
    </row>
    <row r="2" spans="1:10">
      <c r="A2" s="31" t="s">
        <v>70</v>
      </c>
      <c r="B2" s="31"/>
      <c r="C2" s="31"/>
      <c r="D2" s="31"/>
      <c r="E2" s="31"/>
      <c r="F2" s="31"/>
      <c r="G2" s="31"/>
      <c r="H2" s="31"/>
      <c r="I2" s="31"/>
      <c r="J2" s="31"/>
    </row>
    <row r="3" spans="1:10">
      <c r="A3" s="3"/>
      <c r="B3" s="3"/>
      <c r="C3" s="3"/>
      <c r="D3" s="3"/>
      <c r="E3" s="3"/>
      <c r="F3" s="3"/>
      <c r="G3" s="3"/>
      <c r="H3" s="3"/>
      <c r="I3" s="3"/>
      <c r="J3" s="3"/>
    </row>
    <row r="4" spans="1:10">
      <c r="A4" s="32" t="s">
        <v>71</v>
      </c>
      <c r="B4" s="32"/>
      <c r="C4" s="32"/>
      <c r="D4" s="32"/>
      <c r="E4" s="32"/>
      <c r="F4" s="32"/>
      <c r="G4" s="32"/>
      <c r="H4" s="32"/>
      <c r="I4" s="32"/>
      <c r="J4" s="32"/>
    </row>
    <row r="5" spans="1:10" ht="23.25" customHeight="1">
      <c r="A5" s="2" t="s">
        <v>72</v>
      </c>
      <c r="B5" s="2" t="s">
        <v>73</v>
      </c>
      <c r="C5" s="2" t="s">
        <v>74</v>
      </c>
      <c r="D5" s="2" t="s">
        <v>75</v>
      </c>
      <c r="E5" s="2" t="s">
        <v>76</v>
      </c>
      <c r="F5" s="2" t="s">
        <v>77</v>
      </c>
      <c r="G5" s="2" t="s">
        <v>78</v>
      </c>
      <c r="H5" s="2" t="s">
        <v>79</v>
      </c>
      <c r="I5" s="2" t="s">
        <v>80</v>
      </c>
      <c r="J5" s="2" t="s">
        <v>81</v>
      </c>
    </row>
    <row r="6" spans="1:10" ht="15.75" customHeight="1">
      <c r="A6" s="5">
        <v>1</v>
      </c>
      <c r="B6" s="5" t="s">
        <v>82</v>
      </c>
      <c r="C6" s="5" t="s">
        <v>83</v>
      </c>
      <c r="D6" s="5">
        <v>5</v>
      </c>
      <c r="E6" s="12">
        <v>1.25</v>
      </c>
      <c r="F6" s="13">
        <v>0</v>
      </c>
      <c r="G6" s="7">
        <f t="shared" ref="G6:G35" si="0">D6*E6</f>
        <v>6.25</v>
      </c>
      <c r="H6" s="7">
        <f t="shared" ref="H6:H35" si="1">G6*F6</f>
        <v>0</v>
      </c>
      <c r="I6" s="7">
        <f t="shared" ref="I6:I35" si="2">G6-H6</f>
        <v>6.25</v>
      </c>
      <c r="J6" s="14"/>
    </row>
    <row r="7" spans="1:10" ht="15.75" customHeight="1">
      <c r="A7" s="5">
        <v>2</v>
      </c>
      <c r="B7" s="5" t="s">
        <v>84</v>
      </c>
      <c r="C7" s="5" t="s">
        <v>85</v>
      </c>
      <c r="D7" s="5">
        <v>12</v>
      </c>
      <c r="E7" s="12">
        <v>4.95</v>
      </c>
      <c r="F7" s="13">
        <v>0.05</v>
      </c>
      <c r="G7" s="7">
        <f t="shared" si="0"/>
        <v>59.400000000000006</v>
      </c>
      <c r="H7" s="7">
        <f t="shared" si="1"/>
        <v>2.9700000000000006</v>
      </c>
      <c r="I7" s="7">
        <f t="shared" si="2"/>
        <v>56.430000000000007</v>
      </c>
      <c r="J7" s="14"/>
    </row>
    <row r="8" spans="1:10" ht="15.75" customHeight="1">
      <c r="A8" s="5">
        <v>3</v>
      </c>
      <c r="B8" s="5" t="s">
        <v>86</v>
      </c>
      <c r="C8" s="5" t="s">
        <v>87</v>
      </c>
      <c r="D8" s="5">
        <v>19</v>
      </c>
      <c r="E8" s="12">
        <v>8.65</v>
      </c>
      <c r="F8" s="13">
        <v>0.1</v>
      </c>
      <c r="G8" s="7">
        <f t="shared" si="0"/>
        <v>164.35</v>
      </c>
      <c r="H8" s="7">
        <f t="shared" si="1"/>
        <v>16.434999999999999</v>
      </c>
      <c r="I8" s="7">
        <f t="shared" si="2"/>
        <v>147.91499999999999</v>
      </c>
      <c r="J8" s="14"/>
    </row>
    <row r="9" spans="1:10" ht="15.75" customHeight="1">
      <c r="A9" s="5">
        <v>4</v>
      </c>
      <c r="B9" s="5" t="s">
        <v>88</v>
      </c>
      <c r="C9" s="5" t="s">
        <v>89</v>
      </c>
      <c r="D9" s="5">
        <v>26</v>
      </c>
      <c r="E9" s="12">
        <v>12.35</v>
      </c>
      <c r="F9" s="13">
        <v>0.15</v>
      </c>
      <c r="G9" s="7">
        <f t="shared" si="0"/>
        <v>321.09999999999997</v>
      </c>
      <c r="H9" s="7">
        <f t="shared" si="1"/>
        <v>48.164999999999992</v>
      </c>
      <c r="I9" s="7">
        <f t="shared" si="2"/>
        <v>272.93499999999995</v>
      </c>
      <c r="J9" s="14"/>
    </row>
    <row r="10" spans="1:10" ht="15.75" customHeight="1">
      <c r="A10" s="5">
        <v>5</v>
      </c>
      <c r="B10" s="5" t="s">
        <v>90</v>
      </c>
      <c r="C10" s="5" t="s">
        <v>91</v>
      </c>
      <c r="D10" s="5">
        <v>5</v>
      </c>
      <c r="E10" s="12">
        <v>16.05</v>
      </c>
      <c r="F10" s="13">
        <v>0</v>
      </c>
      <c r="G10" s="7">
        <f t="shared" si="0"/>
        <v>80.25</v>
      </c>
      <c r="H10" s="7">
        <f t="shared" si="1"/>
        <v>0</v>
      </c>
      <c r="I10" s="7">
        <f t="shared" si="2"/>
        <v>80.25</v>
      </c>
      <c r="J10" s="14"/>
    </row>
    <row r="11" spans="1:10" ht="15.75" customHeight="1">
      <c r="A11" s="5">
        <v>6</v>
      </c>
      <c r="B11" s="5" t="s">
        <v>92</v>
      </c>
      <c r="C11" s="5" t="s">
        <v>93</v>
      </c>
      <c r="D11" s="5">
        <v>12</v>
      </c>
      <c r="E11" s="12">
        <v>19.75</v>
      </c>
      <c r="F11" s="13">
        <v>0.05</v>
      </c>
      <c r="G11" s="7">
        <f t="shared" si="0"/>
        <v>237</v>
      </c>
      <c r="H11" s="7">
        <f t="shared" si="1"/>
        <v>11.850000000000001</v>
      </c>
      <c r="I11" s="7">
        <f t="shared" si="2"/>
        <v>225.15</v>
      </c>
      <c r="J11" s="14"/>
    </row>
    <row r="12" spans="1:10" ht="15.75" customHeight="1">
      <c r="A12" s="5">
        <v>7</v>
      </c>
      <c r="B12" s="5" t="s">
        <v>94</v>
      </c>
      <c r="C12" s="5" t="s">
        <v>95</v>
      </c>
      <c r="D12" s="5">
        <v>19</v>
      </c>
      <c r="E12" s="12">
        <v>23.45</v>
      </c>
      <c r="F12" s="13">
        <v>0.1</v>
      </c>
      <c r="G12" s="7">
        <f t="shared" si="0"/>
        <v>445.55</v>
      </c>
      <c r="H12" s="7">
        <f t="shared" si="1"/>
        <v>44.555000000000007</v>
      </c>
      <c r="I12" s="7">
        <f t="shared" si="2"/>
        <v>400.995</v>
      </c>
      <c r="J12" s="14"/>
    </row>
    <row r="13" spans="1:10" ht="15.75" customHeight="1">
      <c r="A13" s="5">
        <v>8</v>
      </c>
      <c r="B13" s="5" t="s">
        <v>96</v>
      </c>
      <c r="C13" s="5" t="s">
        <v>97</v>
      </c>
      <c r="D13" s="5">
        <v>26</v>
      </c>
      <c r="E13" s="12">
        <v>3.15</v>
      </c>
      <c r="F13" s="13">
        <v>0.15</v>
      </c>
      <c r="G13" s="7">
        <f t="shared" si="0"/>
        <v>81.899999999999991</v>
      </c>
      <c r="H13" s="7">
        <f t="shared" si="1"/>
        <v>12.284999999999998</v>
      </c>
      <c r="I13" s="7">
        <f t="shared" si="2"/>
        <v>69.614999999999995</v>
      </c>
      <c r="J13" s="14"/>
    </row>
    <row r="14" spans="1:10" ht="15.75" customHeight="1">
      <c r="A14" s="5">
        <v>9</v>
      </c>
      <c r="B14" s="5" t="s">
        <v>98</v>
      </c>
      <c r="C14" s="5" t="s">
        <v>99</v>
      </c>
      <c r="D14" s="5">
        <v>5</v>
      </c>
      <c r="E14" s="12">
        <v>6.85</v>
      </c>
      <c r="F14" s="13">
        <v>0</v>
      </c>
      <c r="G14" s="7">
        <f t="shared" si="0"/>
        <v>34.25</v>
      </c>
      <c r="H14" s="7">
        <f t="shared" si="1"/>
        <v>0</v>
      </c>
      <c r="I14" s="7">
        <f t="shared" si="2"/>
        <v>34.25</v>
      </c>
      <c r="J14" s="14"/>
    </row>
    <row r="15" spans="1:10" ht="15.75" customHeight="1">
      <c r="A15" s="5">
        <v>10</v>
      </c>
      <c r="B15" s="5" t="s">
        <v>100</v>
      </c>
      <c r="C15" s="5" t="s">
        <v>101</v>
      </c>
      <c r="D15" s="5">
        <v>12</v>
      </c>
      <c r="E15" s="12">
        <v>10.55</v>
      </c>
      <c r="F15" s="13">
        <v>0.05</v>
      </c>
      <c r="G15" s="7">
        <f t="shared" si="0"/>
        <v>126.60000000000001</v>
      </c>
      <c r="H15" s="7">
        <f t="shared" si="1"/>
        <v>6.330000000000001</v>
      </c>
      <c r="I15" s="7">
        <f t="shared" si="2"/>
        <v>120.27000000000001</v>
      </c>
      <c r="J15" s="14"/>
    </row>
    <row r="16" spans="1:10" ht="15.75" customHeight="1">
      <c r="A16" s="5">
        <v>11</v>
      </c>
      <c r="B16" s="5" t="s">
        <v>102</v>
      </c>
      <c r="C16" s="5" t="s">
        <v>103</v>
      </c>
      <c r="D16" s="5">
        <v>19</v>
      </c>
      <c r="E16" s="12">
        <v>14.25</v>
      </c>
      <c r="F16" s="13">
        <v>0.1</v>
      </c>
      <c r="G16" s="7">
        <f t="shared" si="0"/>
        <v>270.75</v>
      </c>
      <c r="H16" s="7">
        <f t="shared" si="1"/>
        <v>27.075000000000003</v>
      </c>
      <c r="I16" s="7">
        <f t="shared" si="2"/>
        <v>243.67500000000001</v>
      </c>
      <c r="J16" s="14"/>
    </row>
    <row r="17" spans="1:10" ht="15.75" customHeight="1">
      <c r="A17" s="5">
        <v>12</v>
      </c>
      <c r="B17" s="5" t="s">
        <v>104</v>
      </c>
      <c r="C17" s="5" t="s">
        <v>105</v>
      </c>
      <c r="D17" s="5">
        <v>26</v>
      </c>
      <c r="E17" s="12">
        <v>17.95</v>
      </c>
      <c r="F17" s="13">
        <v>0.15</v>
      </c>
      <c r="G17" s="7">
        <f t="shared" si="0"/>
        <v>466.7</v>
      </c>
      <c r="H17" s="7">
        <f t="shared" si="1"/>
        <v>70.004999999999995</v>
      </c>
      <c r="I17" s="7">
        <f t="shared" si="2"/>
        <v>396.69499999999999</v>
      </c>
      <c r="J17" s="14"/>
    </row>
    <row r="18" spans="1:10" ht="15.75" customHeight="1">
      <c r="A18" s="5">
        <v>13</v>
      </c>
      <c r="B18" s="5" t="s">
        <v>106</v>
      </c>
      <c r="C18" s="5" t="s">
        <v>107</v>
      </c>
      <c r="D18" s="5">
        <v>5</v>
      </c>
      <c r="E18" s="12">
        <v>21.65</v>
      </c>
      <c r="F18" s="13">
        <v>0</v>
      </c>
      <c r="G18" s="7">
        <f t="shared" si="0"/>
        <v>108.25</v>
      </c>
      <c r="H18" s="7">
        <f t="shared" si="1"/>
        <v>0</v>
      </c>
      <c r="I18" s="7">
        <f t="shared" si="2"/>
        <v>108.25</v>
      </c>
      <c r="J18" s="14"/>
    </row>
    <row r="19" spans="1:10" ht="15.75" customHeight="1">
      <c r="A19" s="5">
        <v>14</v>
      </c>
      <c r="B19" s="5" t="s">
        <v>108</v>
      </c>
      <c r="C19" s="5" t="s">
        <v>109</v>
      </c>
      <c r="D19" s="5">
        <v>12</v>
      </c>
      <c r="E19" s="12">
        <v>1.35</v>
      </c>
      <c r="F19" s="13">
        <v>0.05</v>
      </c>
      <c r="G19" s="7">
        <f t="shared" si="0"/>
        <v>16.200000000000003</v>
      </c>
      <c r="H19" s="7">
        <f t="shared" si="1"/>
        <v>0.81000000000000016</v>
      </c>
      <c r="I19" s="7">
        <f t="shared" si="2"/>
        <v>15.390000000000002</v>
      </c>
      <c r="J19" s="14"/>
    </row>
    <row r="20" spans="1:10" ht="15.75" customHeight="1">
      <c r="A20" s="5">
        <v>15</v>
      </c>
      <c r="B20" s="5" t="s">
        <v>110</v>
      </c>
      <c r="C20" s="5" t="s">
        <v>111</v>
      </c>
      <c r="D20" s="5">
        <v>19</v>
      </c>
      <c r="E20" s="12">
        <v>5.05</v>
      </c>
      <c r="F20" s="13">
        <v>0.1</v>
      </c>
      <c r="G20" s="7">
        <f t="shared" si="0"/>
        <v>95.95</v>
      </c>
      <c r="H20" s="7">
        <f t="shared" si="1"/>
        <v>9.5950000000000006</v>
      </c>
      <c r="I20" s="7">
        <f t="shared" si="2"/>
        <v>86.355000000000004</v>
      </c>
      <c r="J20" s="14"/>
    </row>
    <row r="21" spans="1:10" ht="15.75" customHeight="1">
      <c r="A21" s="5">
        <v>16</v>
      </c>
      <c r="B21" s="5" t="s">
        <v>112</v>
      </c>
      <c r="C21" s="5" t="s">
        <v>83</v>
      </c>
      <c r="D21" s="5">
        <v>26</v>
      </c>
      <c r="E21" s="12">
        <v>8.75</v>
      </c>
      <c r="F21" s="13">
        <v>0.15</v>
      </c>
      <c r="G21" s="7">
        <f t="shared" si="0"/>
        <v>227.5</v>
      </c>
      <c r="H21" s="7">
        <f t="shared" si="1"/>
        <v>34.125</v>
      </c>
      <c r="I21" s="7">
        <f t="shared" si="2"/>
        <v>193.375</v>
      </c>
      <c r="J21" s="14"/>
    </row>
    <row r="22" spans="1:10" ht="15.75" customHeight="1">
      <c r="A22" s="5">
        <v>17</v>
      </c>
      <c r="B22" s="5" t="s">
        <v>113</v>
      </c>
      <c r="C22" s="5" t="s">
        <v>85</v>
      </c>
      <c r="D22" s="5">
        <v>5</v>
      </c>
      <c r="E22" s="12">
        <v>12.45</v>
      </c>
      <c r="F22" s="13">
        <v>0</v>
      </c>
      <c r="G22" s="7">
        <f t="shared" si="0"/>
        <v>62.25</v>
      </c>
      <c r="H22" s="7">
        <f t="shared" si="1"/>
        <v>0</v>
      </c>
      <c r="I22" s="7">
        <f t="shared" si="2"/>
        <v>62.25</v>
      </c>
      <c r="J22" s="14"/>
    </row>
    <row r="23" spans="1:10" ht="15.75" customHeight="1">
      <c r="A23" s="5">
        <v>18</v>
      </c>
      <c r="B23" s="5" t="s">
        <v>114</v>
      </c>
      <c r="C23" s="5" t="s">
        <v>87</v>
      </c>
      <c r="D23" s="5">
        <v>12</v>
      </c>
      <c r="E23" s="12">
        <v>16.149999999999999</v>
      </c>
      <c r="F23" s="13">
        <v>0.05</v>
      </c>
      <c r="G23" s="7">
        <f t="shared" si="0"/>
        <v>193.79999999999998</v>
      </c>
      <c r="H23" s="7">
        <f t="shared" si="1"/>
        <v>9.69</v>
      </c>
      <c r="I23" s="7">
        <f t="shared" si="2"/>
        <v>184.10999999999999</v>
      </c>
      <c r="J23" s="14"/>
    </row>
    <row r="24" spans="1:10" ht="15.75" customHeight="1">
      <c r="A24" s="5">
        <v>19</v>
      </c>
      <c r="B24" s="5" t="s">
        <v>115</v>
      </c>
      <c r="C24" s="5" t="s">
        <v>89</v>
      </c>
      <c r="D24" s="5">
        <v>19</v>
      </c>
      <c r="E24" s="12">
        <v>19.850000000000001</v>
      </c>
      <c r="F24" s="13">
        <v>0.1</v>
      </c>
      <c r="G24" s="7">
        <f t="shared" si="0"/>
        <v>377.15000000000003</v>
      </c>
      <c r="H24" s="7">
        <f t="shared" si="1"/>
        <v>37.715000000000003</v>
      </c>
      <c r="I24" s="7">
        <f t="shared" si="2"/>
        <v>339.43500000000006</v>
      </c>
      <c r="J24" s="14"/>
    </row>
    <row r="25" spans="1:10" ht="15.75" customHeight="1">
      <c r="A25" s="5">
        <v>20</v>
      </c>
      <c r="B25" s="5" t="s">
        <v>116</v>
      </c>
      <c r="C25" s="5" t="s">
        <v>91</v>
      </c>
      <c r="D25" s="5">
        <v>26</v>
      </c>
      <c r="E25" s="12">
        <v>23.55</v>
      </c>
      <c r="F25" s="13">
        <v>0.15</v>
      </c>
      <c r="G25" s="7">
        <f t="shared" si="0"/>
        <v>612.30000000000007</v>
      </c>
      <c r="H25" s="7">
        <f t="shared" si="1"/>
        <v>91.845000000000013</v>
      </c>
      <c r="I25" s="7">
        <f t="shared" si="2"/>
        <v>520.45500000000004</v>
      </c>
      <c r="J25" s="14"/>
    </row>
    <row r="26" spans="1:10" ht="15.75" customHeight="1">
      <c r="A26" s="5">
        <v>21</v>
      </c>
      <c r="B26" s="5" t="s">
        <v>117</v>
      </c>
      <c r="C26" s="5" t="s">
        <v>93</v>
      </c>
      <c r="D26" s="5">
        <v>5</v>
      </c>
      <c r="E26" s="12">
        <v>3.25</v>
      </c>
      <c r="F26" s="13">
        <v>0</v>
      </c>
      <c r="G26" s="7">
        <f t="shared" si="0"/>
        <v>16.25</v>
      </c>
      <c r="H26" s="7">
        <f t="shared" si="1"/>
        <v>0</v>
      </c>
      <c r="I26" s="7">
        <f t="shared" si="2"/>
        <v>16.25</v>
      </c>
      <c r="J26" s="14"/>
    </row>
    <row r="27" spans="1:10" ht="15.75" customHeight="1">
      <c r="A27" s="5">
        <v>22</v>
      </c>
      <c r="B27" s="5" t="s">
        <v>118</v>
      </c>
      <c r="C27" s="5" t="s">
        <v>95</v>
      </c>
      <c r="D27" s="5">
        <v>12</v>
      </c>
      <c r="E27" s="12">
        <v>6.95</v>
      </c>
      <c r="F27" s="13">
        <v>0.05</v>
      </c>
      <c r="G27" s="7">
        <f t="shared" si="0"/>
        <v>83.4</v>
      </c>
      <c r="H27" s="7">
        <f t="shared" si="1"/>
        <v>4.1700000000000008</v>
      </c>
      <c r="I27" s="7">
        <f t="shared" si="2"/>
        <v>79.23</v>
      </c>
      <c r="J27" s="14"/>
    </row>
    <row r="28" spans="1:10" ht="15.75" customHeight="1">
      <c r="A28" s="5">
        <v>23</v>
      </c>
      <c r="B28" s="5" t="s">
        <v>119</v>
      </c>
      <c r="C28" s="5" t="s">
        <v>97</v>
      </c>
      <c r="D28" s="5">
        <v>19</v>
      </c>
      <c r="E28" s="12">
        <v>10.65</v>
      </c>
      <c r="F28" s="13">
        <v>0.1</v>
      </c>
      <c r="G28" s="7">
        <f t="shared" si="0"/>
        <v>202.35</v>
      </c>
      <c r="H28" s="7">
        <f t="shared" si="1"/>
        <v>20.234999999999999</v>
      </c>
      <c r="I28" s="7">
        <f t="shared" si="2"/>
        <v>182.11500000000001</v>
      </c>
      <c r="J28" s="14"/>
    </row>
    <row r="29" spans="1:10" ht="15.75" customHeight="1">
      <c r="A29" s="5">
        <v>24</v>
      </c>
      <c r="B29" s="5" t="s">
        <v>120</v>
      </c>
      <c r="C29" s="5" t="s">
        <v>99</v>
      </c>
      <c r="D29" s="5">
        <v>26</v>
      </c>
      <c r="E29" s="12">
        <v>14.35</v>
      </c>
      <c r="F29" s="13">
        <v>0.15</v>
      </c>
      <c r="G29" s="7">
        <f t="shared" si="0"/>
        <v>373.09999999999997</v>
      </c>
      <c r="H29" s="7">
        <f t="shared" si="1"/>
        <v>55.964999999999996</v>
      </c>
      <c r="I29" s="7">
        <f t="shared" si="2"/>
        <v>317.13499999999999</v>
      </c>
      <c r="J29" s="14"/>
    </row>
    <row r="30" spans="1:10" ht="15.75" customHeight="1">
      <c r="A30" s="5">
        <v>25</v>
      </c>
      <c r="B30" s="5" t="s">
        <v>121</v>
      </c>
      <c r="C30" s="5" t="s">
        <v>101</v>
      </c>
      <c r="D30" s="5">
        <v>5</v>
      </c>
      <c r="E30" s="12">
        <v>18.05</v>
      </c>
      <c r="F30" s="13">
        <v>0</v>
      </c>
      <c r="G30" s="7">
        <f t="shared" si="0"/>
        <v>90.25</v>
      </c>
      <c r="H30" s="7">
        <f t="shared" si="1"/>
        <v>0</v>
      </c>
      <c r="I30" s="7">
        <f t="shared" si="2"/>
        <v>90.25</v>
      </c>
      <c r="J30" s="14"/>
    </row>
    <row r="31" spans="1:10" ht="15.75" customHeight="1">
      <c r="A31" s="5">
        <v>26</v>
      </c>
      <c r="B31" s="5" t="s">
        <v>122</v>
      </c>
      <c r="C31" s="5" t="s">
        <v>103</v>
      </c>
      <c r="D31" s="5">
        <v>12</v>
      </c>
      <c r="E31" s="12">
        <v>21.75</v>
      </c>
      <c r="F31" s="13">
        <v>0.05</v>
      </c>
      <c r="G31" s="7">
        <f t="shared" si="0"/>
        <v>261</v>
      </c>
      <c r="H31" s="7">
        <f t="shared" si="1"/>
        <v>13.05</v>
      </c>
      <c r="I31" s="7">
        <f t="shared" si="2"/>
        <v>247.95</v>
      </c>
      <c r="J31" s="14"/>
    </row>
    <row r="32" spans="1:10" ht="15.75" customHeight="1">
      <c r="A32" s="5">
        <v>27</v>
      </c>
      <c r="B32" s="5" t="s">
        <v>123</v>
      </c>
      <c r="C32" s="5" t="s">
        <v>105</v>
      </c>
      <c r="D32" s="5">
        <v>19</v>
      </c>
      <c r="E32" s="12">
        <v>1.45</v>
      </c>
      <c r="F32" s="13">
        <v>0.1</v>
      </c>
      <c r="G32" s="7">
        <f t="shared" si="0"/>
        <v>27.55</v>
      </c>
      <c r="H32" s="7">
        <f t="shared" si="1"/>
        <v>2.7550000000000003</v>
      </c>
      <c r="I32" s="7">
        <f t="shared" si="2"/>
        <v>24.795000000000002</v>
      </c>
      <c r="J32" s="14"/>
    </row>
    <row r="33" spans="1:10" ht="15.75" customHeight="1">
      <c r="A33" s="5">
        <v>28</v>
      </c>
      <c r="B33" s="5" t="s">
        <v>124</v>
      </c>
      <c r="C33" s="5" t="s">
        <v>107</v>
      </c>
      <c r="D33" s="5">
        <v>26</v>
      </c>
      <c r="E33" s="12">
        <v>5.15</v>
      </c>
      <c r="F33" s="13">
        <v>0.15</v>
      </c>
      <c r="G33" s="7">
        <f t="shared" si="0"/>
        <v>133.9</v>
      </c>
      <c r="H33" s="7">
        <f t="shared" si="1"/>
        <v>20.085000000000001</v>
      </c>
      <c r="I33" s="7">
        <f t="shared" si="2"/>
        <v>113.815</v>
      </c>
      <c r="J33" s="14"/>
    </row>
    <row r="34" spans="1:10" ht="15.75" customHeight="1">
      <c r="A34" s="5">
        <v>29</v>
      </c>
      <c r="B34" s="5" t="s">
        <v>125</v>
      </c>
      <c r="C34" s="5" t="s">
        <v>109</v>
      </c>
      <c r="D34" s="5">
        <v>5</v>
      </c>
      <c r="E34" s="12">
        <v>8.85</v>
      </c>
      <c r="F34" s="13">
        <v>0</v>
      </c>
      <c r="G34" s="7">
        <f t="shared" si="0"/>
        <v>44.25</v>
      </c>
      <c r="H34" s="7">
        <f t="shared" si="1"/>
        <v>0</v>
      </c>
      <c r="I34" s="7">
        <f t="shared" si="2"/>
        <v>44.25</v>
      </c>
      <c r="J34" s="14"/>
    </row>
    <row r="35" spans="1:10" ht="15.75" customHeight="1">
      <c r="A35" s="5">
        <v>30</v>
      </c>
      <c r="B35" s="5" t="s">
        <v>126</v>
      </c>
      <c r="C35" s="5" t="s">
        <v>111</v>
      </c>
      <c r="D35" s="5">
        <v>12</v>
      </c>
      <c r="E35" s="12">
        <v>12.55</v>
      </c>
      <c r="F35" s="13">
        <v>0.05</v>
      </c>
      <c r="G35" s="7">
        <f t="shared" si="0"/>
        <v>150.60000000000002</v>
      </c>
      <c r="H35" s="7">
        <f t="shared" si="1"/>
        <v>7.5300000000000011</v>
      </c>
      <c r="I35" s="7">
        <f t="shared" si="2"/>
        <v>143.07000000000002</v>
      </c>
      <c r="J35" s="14"/>
    </row>
    <row r="36" spans="1:10" ht="15" customHeight="1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6" t="s">
        <v>127</v>
      </c>
      <c r="B37" s="36"/>
      <c r="C37" s="36"/>
      <c r="D37" s="36"/>
      <c r="E37" s="36"/>
      <c r="F37" s="36"/>
      <c r="G37" s="36"/>
      <c r="H37" s="36"/>
      <c r="I37" s="36"/>
      <c r="J37" s="36"/>
    </row>
    <row r="38" spans="1:10">
      <c r="A38" s="36"/>
      <c r="B38" s="36"/>
      <c r="C38" s="36"/>
      <c r="D38" s="36"/>
      <c r="E38" s="36"/>
      <c r="F38" s="36"/>
      <c r="G38" s="36"/>
      <c r="H38" s="36"/>
      <c r="I38" s="36"/>
      <c r="J38" s="36"/>
    </row>
    <row r="39" spans="1:10">
      <c r="A39" s="36"/>
      <c r="B39" s="36"/>
      <c r="C39" s="36"/>
      <c r="D39" s="36"/>
      <c r="E39" s="36"/>
      <c r="F39" s="36"/>
      <c r="G39" s="36"/>
      <c r="H39" s="36"/>
      <c r="I39" s="36"/>
      <c r="J39" s="36"/>
    </row>
  </sheetData>
  <mergeCells count="4">
    <mergeCell ref="A1:J1"/>
    <mergeCell ref="A2:J2"/>
    <mergeCell ref="A4:J4"/>
    <mergeCell ref="A37:J3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3"/>
  <sheetViews>
    <sheetView showGridLines="0" workbookViewId="0">
      <selection activeCell="L28" sqref="L28"/>
    </sheetView>
  </sheetViews>
  <sheetFormatPr defaultColWidth="8.7109375" defaultRowHeight="15"/>
  <cols>
    <col min="1" max="1" width="16.85546875" bestFit="1" customWidth="1"/>
    <col min="2" max="2" width="14" bestFit="1" customWidth="1"/>
    <col min="3" max="3" width="11.5703125" bestFit="1" customWidth="1"/>
    <col min="4" max="4" width="14" bestFit="1" customWidth="1"/>
    <col min="5" max="5" width="10.28515625" customWidth="1"/>
    <col min="6" max="6" width="18.5703125" bestFit="1" customWidth="1"/>
    <col min="7" max="7" width="14.7109375" bestFit="1" customWidth="1"/>
    <col min="8" max="10" width="10.28515625" customWidth="1"/>
  </cols>
  <sheetData>
    <row r="1" spans="1:10" ht="20.25">
      <c r="A1" s="30" t="s">
        <v>128</v>
      </c>
      <c r="B1" s="30"/>
      <c r="C1" s="30"/>
      <c r="D1" s="30"/>
      <c r="E1" s="30"/>
      <c r="F1" s="30"/>
      <c r="G1" s="30"/>
      <c r="H1" s="30"/>
      <c r="I1" s="30"/>
      <c r="J1" s="30"/>
    </row>
    <row r="2" spans="1:10">
      <c r="A2" s="31" t="s">
        <v>129</v>
      </c>
      <c r="B2" s="31"/>
      <c r="C2" s="31"/>
      <c r="D2" s="31"/>
      <c r="E2" s="31"/>
      <c r="F2" s="31"/>
      <c r="G2" s="31"/>
      <c r="H2" s="31"/>
      <c r="I2" s="31"/>
      <c r="J2" s="31"/>
    </row>
    <row r="3" spans="1:10">
      <c r="A3" s="3"/>
      <c r="B3" s="3"/>
      <c r="C3" s="3"/>
      <c r="D3" s="3"/>
      <c r="E3" s="3"/>
      <c r="F3" s="3"/>
      <c r="G3" s="3"/>
      <c r="H3" s="3"/>
      <c r="I3" s="3"/>
      <c r="J3" s="3"/>
    </row>
    <row r="4" spans="1:10">
      <c r="A4" s="2" t="s">
        <v>130</v>
      </c>
      <c r="B4" s="2" t="s">
        <v>131</v>
      </c>
      <c r="C4" s="3"/>
      <c r="D4" s="32" t="s">
        <v>132</v>
      </c>
      <c r="E4" s="32"/>
      <c r="F4" s="32"/>
      <c r="G4" s="32"/>
      <c r="H4" s="32"/>
      <c r="I4" s="32"/>
      <c r="J4" s="32"/>
    </row>
    <row r="5" spans="1:10">
      <c r="A5" s="5" t="s">
        <v>133</v>
      </c>
      <c r="B5" s="13">
        <v>0.23</v>
      </c>
      <c r="C5" s="3"/>
      <c r="D5" s="32"/>
      <c r="E5" s="32"/>
      <c r="F5" s="32"/>
      <c r="G5" s="32"/>
      <c r="H5" s="32"/>
      <c r="I5" s="32"/>
      <c r="J5" s="32"/>
    </row>
    <row r="6" spans="1:10">
      <c r="A6" s="5" t="s">
        <v>134</v>
      </c>
      <c r="B6" s="13">
        <v>0.04</v>
      </c>
      <c r="C6" s="3"/>
      <c r="D6" s="32"/>
      <c r="E6" s="32"/>
      <c r="F6" s="32"/>
      <c r="G6" s="32"/>
      <c r="H6" s="32"/>
      <c r="I6" s="32"/>
      <c r="J6" s="32"/>
    </row>
    <row r="7" spans="1:10">
      <c r="A7" s="5" t="s">
        <v>135</v>
      </c>
      <c r="B7" s="12">
        <v>7.5</v>
      </c>
      <c r="C7" s="3"/>
      <c r="D7" s="32"/>
      <c r="E7" s="32"/>
      <c r="F7" s="32"/>
      <c r="G7" s="32"/>
      <c r="H7" s="32"/>
      <c r="I7" s="32"/>
      <c r="J7" s="32"/>
    </row>
    <row r="8" spans="1:10">
      <c r="A8" s="3"/>
      <c r="B8" s="3"/>
      <c r="C8" s="3"/>
      <c r="D8" s="3"/>
      <c r="E8" s="3"/>
      <c r="F8" s="3"/>
      <c r="G8" s="3"/>
      <c r="H8" s="3"/>
      <c r="I8" s="3"/>
      <c r="J8" s="3"/>
    </row>
    <row r="9" spans="1:10">
      <c r="A9" s="2" t="s">
        <v>73</v>
      </c>
      <c r="B9" s="2" t="s">
        <v>74</v>
      </c>
      <c r="C9" s="2" t="s">
        <v>75</v>
      </c>
      <c r="D9" s="2" t="s">
        <v>76</v>
      </c>
      <c r="E9" s="2" t="s">
        <v>78</v>
      </c>
      <c r="F9" s="2" t="s">
        <v>134</v>
      </c>
      <c r="G9" s="2" t="s">
        <v>136</v>
      </c>
      <c r="H9" s="2" t="s">
        <v>137</v>
      </c>
      <c r="I9" s="2" t="s">
        <v>138</v>
      </c>
      <c r="J9" s="2" t="s">
        <v>139</v>
      </c>
    </row>
    <row r="10" spans="1:10">
      <c r="A10" s="5" t="s">
        <v>140</v>
      </c>
      <c r="B10" s="5" t="s">
        <v>141</v>
      </c>
      <c r="C10" s="5">
        <v>1</v>
      </c>
      <c r="D10" s="12">
        <v>12.5</v>
      </c>
      <c r="E10" s="7">
        <f t="shared" ref="E10:E29" si="0">C10*D10</f>
        <v>12.5</v>
      </c>
      <c r="F10" s="7">
        <f t="shared" ref="F10:F29" si="1">E10*$B$6</f>
        <v>0.5</v>
      </c>
      <c r="G10" s="7">
        <f t="shared" ref="G10:G29" si="2">E10-F10</f>
        <v>12</v>
      </c>
      <c r="H10" s="7">
        <f t="shared" ref="H10:H29" si="3">G10*$B$5</f>
        <v>2.7600000000000002</v>
      </c>
      <c r="I10" s="7">
        <f t="shared" ref="I10:I29" si="4">$B$7</f>
        <v>7.5</v>
      </c>
      <c r="J10" s="7">
        <f t="shared" ref="J10:J29" si="5">G10+H10+I10</f>
        <v>22.259999999999998</v>
      </c>
    </row>
    <row r="11" spans="1:10">
      <c r="A11" s="5" t="s">
        <v>142</v>
      </c>
      <c r="B11" s="5" t="s">
        <v>143</v>
      </c>
      <c r="C11" s="5">
        <v>2</v>
      </c>
      <c r="D11" s="12">
        <v>20.8</v>
      </c>
      <c r="E11" s="7">
        <f t="shared" si="0"/>
        <v>41.6</v>
      </c>
      <c r="F11" s="7">
        <f t="shared" si="1"/>
        <v>1.6640000000000001</v>
      </c>
      <c r="G11" s="7">
        <f t="shared" si="2"/>
        <v>39.936</v>
      </c>
      <c r="H11" s="7">
        <f t="shared" si="3"/>
        <v>9.1852800000000006</v>
      </c>
      <c r="I11" s="7">
        <f t="shared" si="4"/>
        <v>7.5</v>
      </c>
      <c r="J11" s="7">
        <f t="shared" si="5"/>
        <v>56.621279999999999</v>
      </c>
    </row>
    <row r="12" spans="1:10">
      <c r="A12" s="5" t="s">
        <v>144</v>
      </c>
      <c r="B12" s="5" t="s">
        <v>145</v>
      </c>
      <c r="C12" s="5">
        <v>3</v>
      </c>
      <c r="D12" s="12">
        <v>29.1</v>
      </c>
      <c r="E12" s="7">
        <f t="shared" si="0"/>
        <v>87.300000000000011</v>
      </c>
      <c r="F12" s="7">
        <f t="shared" si="1"/>
        <v>3.4920000000000004</v>
      </c>
      <c r="G12" s="7">
        <f t="shared" si="2"/>
        <v>83.808000000000007</v>
      </c>
      <c r="H12" s="7">
        <f t="shared" si="3"/>
        <v>19.275840000000002</v>
      </c>
      <c r="I12" s="7">
        <f t="shared" si="4"/>
        <v>7.5</v>
      </c>
      <c r="J12" s="7">
        <f t="shared" si="5"/>
        <v>110.58384000000001</v>
      </c>
    </row>
    <row r="13" spans="1:10">
      <c r="A13" s="5" t="s">
        <v>146</v>
      </c>
      <c r="B13" s="5" t="s">
        <v>147</v>
      </c>
      <c r="C13" s="5">
        <v>4</v>
      </c>
      <c r="D13" s="12">
        <v>37.4</v>
      </c>
      <c r="E13" s="7">
        <f t="shared" si="0"/>
        <v>149.6</v>
      </c>
      <c r="F13" s="7">
        <f t="shared" si="1"/>
        <v>5.984</v>
      </c>
      <c r="G13" s="7">
        <f t="shared" si="2"/>
        <v>143.61599999999999</v>
      </c>
      <c r="H13" s="7">
        <f t="shared" si="3"/>
        <v>33.031680000000001</v>
      </c>
      <c r="I13" s="7">
        <f t="shared" si="4"/>
        <v>7.5</v>
      </c>
      <c r="J13" s="7">
        <f t="shared" si="5"/>
        <v>184.14767999999998</v>
      </c>
    </row>
    <row r="14" spans="1:10">
      <c r="A14" s="5" t="s">
        <v>148</v>
      </c>
      <c r="B14" s="5" t="s">
        <v>149</v>
      </c>
      <c r="C14" s="5">
        <v>5</v>
      </c>
      <c r="D14" s="12">
        <v>45.7</v>
      </c>
      <c r="E14" s="7">
        <f t="shared" si="0"/>
        <v>228.5</v>
      </c>
      <c r="F14" s="7">
        <f t="shared" si="1"/>
        <v>9.14</v>
      </c>
      <c r="G14" s="7">
        <f t="shared" si="2"/>
        <v>219.36</v>
      </c>
      <c r="H14" s="7">
        <f t="shared" si="3"/>
        <v>50.452800000000003</v>
      </c>
      <c r="I14" s="7">
        <f t="shared" si="4"/>
        <v>7.5</v>
      </c>
      <c r="J14" s="7">
        <f t="shared" si="5"/>
        <v>277.31280000000004</v>
      </c>
    </row>
    <row r="15" spans="1:10">
      <c r="A15" s="5" t="s">
        <v>150</v>
      </c>
      <c r="B15" s="5" t="s">
        <v>151</v>
      </c>
      <c r="C15" s="5">
        <v>6</v>
      </c>
      <c r="D15" s="12">
        <v>54</v>
      </c>
      <c r="E15" s="7">
        <f t="shared" si="0"/>
        <v>324</v>
      </c>
      <c r="F15" s="7">
        <f t="shared" si="1"/>
        <v>12.96</v>
      </c>
      <c r="G15" s="7">
        <f t="shared" si="2"/>
        <v>311.04000000000002</v>
      </c>
      <c r="H15" s="7">
        <f t="shared" si="3"/>
        <v>71.539200000000008</v>
      </c>
      <c r="I15" s="7">
        <f t="shared" si="4"/>
        <v>7.5</v>
      </c>
      <c r="J15" s="7">
        <f t="shared" si="5"/>
        <v>390.07920000000001</v>
      </c>
    </row>
    <row r="16" spans="1:10">
      <c r="A16" s="5" t="s">
        <v>152</v>
      </c>
      <c r="B16" s="5" t="s">
        <v>153</v>
      </c>
      <c r="C16" s="5">
        <v>1</v>
      </c>
      <c r="D16" s="12">
        <v>62.3</v>
      </c>
      <c r="E16" s="7">
        <f t="shared" si="0"/>
        <v>62.3</v>
      </c>
      <c r="F16" s="7">
        <f t="shared" si="1"/>
        <v>2.492</v>
      </c>
      <c r="G16" s="7">
        <f t="shared" si="2"/>
        <v>59.808</v>
      </c>
      <c r="H16" s="7">
        <f t="shared" si="3"/>
        <v>13.755840000000001</v>
      </c>
      <c r="I16" s="7">
        <f t="shared" si="4"/>
        <v>7.5</v>
      </c>
      <c r="J16" s="7">
        <f t="shared" si="5"/>
        <v>81.063839999999999</v>
      </c>
    </row>
    <row r="17" spans="1:10">
      <c r="A17" s="5" t="s">
        <v>154</v>
      </c>
      <c r="B17" s="5" t="s">
        <v>155</v>
      </c>
      <c r="C17" s="5">
        <v>2</v>
      </c>
      <c r="D17" s="12">
        <v>70.599999999999994</v>
      </c>
      <c r="E17" s="7">
        <f t="shared" si="0"/>
        <v>141.19999999999999</v>
      </c>
      <c r="F17" s="7">
        <f t="shared" si="1"/>
        <v>5.6479999999999997</v>
      </c>
      <c r="G17" s="7">
        <f t="shared" si="2"/>
        <v>135.55199999999999</v>
      </c>
      <c r="H17" s="7">
        <f t="shared" si="3"/>
        <v>31.176960000000001</v>
      </c>
      <c r="I17" s="7">
        <f t="shared" si="4"/>
        <v>7.5</v>
      </c>
      <c r="J17" s="7">
        <f t="shared" si="5"/>
        <v>174.22896</v>
      </c>
    </row>
    <row r="18" spans="1:10">
      <c r="A18" s="5" t="s">
        <v>156</v>
      </c>
      <c r="B18" s="5" t="s">
        <v>157</v>
      </c>
      <c r="C18" s="5">
        <v>3</v>
      </c>
      <c r="D18" s="12">
        <v>78.900000000000006</v>
      </c>
      <c r="E18" s="7">
        <f t="shared" si="0"/>
        <v>236.70000000000002</v>
      </c>
      <c r="F18" s="7">
        <f t="shared" si="1"/>
        <v>9.4680000000000017</v>
      </c>
      <c r="G18" s="7">
        <f t="shared" si="2"/>
        <v>227.23200000000003</v>
      </c>
      <c r="H18" s="7">
        <f t="shared" si="3"/>
        <v>52.263360000000006</v>
      </c>
      <c r="I18" s="7">
        <f t="shared" si="4"/>
        <v>7.5</v>
      </c>
      <c r="J18" s="7">
        <f t="shared" si="5"/>
        <v>286.99536000000001</v>
      </c>
    </row>
    <row r="19" spans="1:10">
      <c r="A19" s="5" t="s">
        <v>158</v>
      </c>
      <c r="B19" s="5" t="s">
        <v>159</v>
      </c>
      <c r="C19" s="5">
        <v>4</v>
      </c>
      <c r="D19" s="12">
        <v>87.2</v>
      </c>
      <c r="E19" s="7">
        <f t="shared" si="0"/>
        <v>348.8</v>
      </c>
      <c r="F19" s="7">
        <f t="shared" si="1"/>
        <v>13.952</v>
      </c>
      <c r="G19" s="7">
        <f t="shared" si="2"/>
        <v>334.84800000000001</v>
      </c>
      <c r="H19" s="7">
        <f t="shared" si="3"/>
        <v>77.015040000000013</v>
      </c>
      <c r="I19" s="7">
        <f t="shared" si="4"/>
        <v>7.5</v>
      </c>
      <c r="J19" s="7">
        <f t="shared" si="5"/>
        <v>419.36304000000001</v>
      </c>
    </row>
    <row r="20" spans="1:10">
      <c r="A20" s="5" t="s">
        <v>160</v>
      </c>
      <c r="B20" s="5" t="s">
        <v>161</v>
      </c>
      <c r="C20" s="5">
        <v>5</v>
      </c>
      <c r="D20" s="12">
        <v>95.5</v>
      </c>
      <c r="E20" s="7">
        <f t="shared" si="0"/>
        <v>477.5</v>
      </c>
      <c r="F20" s="7">
        <f t="shared" si="1"/>
        <v>19.100000000000001</v>
      </c>
      <c r="G20" s="7">
        <f t="shared" si="2"/>
        <v>458.4</v>
      </c>
      <c r="H20" s="7">
        <f t="shared" si="3"/>
        <v>105.432</v>
      </c>
      <c r="I20" s="7">
        <f t="shared" si="4"/>
        <v>7.5</v>
      </c>
      <c r="J20" s="7">
        <f t="shared" si="5"/>
        <v>571.33199999999999</v>
      </c>
    </row>
    <row r="21" spans="1:10">
      <c r="A21" s="5" t="s">
        <v>162</v>
      </c>
      <c r="B21" s="5" t="s">
        <v>163</v>
      </c>
      <c r="C21" s="5">
        <v>6</v>
      </c>
      <c r="D21" s="12">
        <v>103.8</v>
      </c>
      <c r="E21" s="7">
        <f t="shared" si="0"/>
        <v>622.79999999999995</v>
      </c>
      <c r="F21" s="7">
        <f t="shared" si="1"/>
        <v>24.911999999999999</v>
      </c>
      <c r="G21" s="7">
        <f t="shared" si="2"/>
        <v>597.88799999999992</v>
      </c>
      <c r="H21" s="7">
        <f t="shared" si="3"/>
        <v>137.51424</v>
      </c>
      <c r="I21" s="7">
        <f t="shared" si="4"/>
        <v>7.5</v>
      </c>
      <c r="J21" s="7">
        <f t="shared" si="5"/>
        <v>742.90223999999989</v>
      </c>
    </row>
    <row r="22" spans="1:10">
      <c r="A22" s="5" t="s">
        <v>164</v>
      </c>
      <c r="B22" s="5" t="s">
        <v>165</v>
      </c>
      <c r="C22" s="5">
        <v>1</v>
      </c>
      <c r="D22" s="12">
        <v>112.1</v>
      </c>
      <c r="E22" s="7">
        <f t="shared" si="0"/>
        <v>112.1</v>
      </c>
      <c r="F22" s="7">
        <f t="shared" si="1"/>
        <v>4.484</v>
      </c>
      <c r="G22" s="7">
        <f t="shared" si="2"/>
        <v>107.616</v>
      </c>
      <c r="H22" s="7">
        <f t="shared" si="3"/>
        <v>24.75168</v>
      </c>
      <c r="I22" s="7">
        <f t="shared" si="4"/>
        <v>7.5</v>
      </c>
      <c r="J22" s="7">
        <f t="shared" si="5"/>
        <v>139.86768000000001</v>
      </c>
    </row>
    <row r="23" spans="1:10">
      <c r="A23" s="5" t="s">
        <v>166</v>
      </c>
      <c r="B23" s="5" t="s">
        <v>167</v>
      </c>
      <c r="C23" s="5">
        <v>2</v>
      </c>
      <c r="D23" s="12">
        <v>120.4</v>
      </c>
      <c r="E23" s="7">
        <f t="shared" si="0"/>
        <v>240.8</v>
      </c>
      <c r="F23" s="7">
        <f t="shared" si="1"/>
        <v>9.6320000000000014</v>
      </c>
      <c r="G23" s="7">
        <f t="shared" si="2"/>
        <v>231.16800000000001</v>
      </c>
      <c r="H23" s="7">
        <f t="shared" si="3"/>
        <v>53.168640000000003</v>
      </c>
      <c r="I23" s="7">
        <f t="shared" si="4"/>
        <v>7.5</v>
      </c>
      <c r="J23" s="7">
        <f t="shared" si="5"/>
        <v>291.83663999999999</v>
      </c>
    </row>
    <row r="24" spans="1:10">
      <c r="A24" s="5" t="s">
        <v>168</v>
      </c>
      <c r="B24" s="5" t="s">
        <v>169</v>
      </c>
      <c r="C24" s="5">
        <v>3</v>
      </c>
      <c r="D24" s="12">
        <v>128.69999999999999</v>
      </c>
      <c r="E24" s="7">
        <f t="shared" si="0"/>
        <v>386.09999999999997</v>
      </c>
      <c r="F24" s="7">
        <f t="shared" si="1"/>
        <v>15.443999999999999</v>
      </c>
      <c r="G24" s="7">
        <f t="shared" si="2"/>
        <v>370.65599999999995</v>
      </c>
      <c r="H24" s="7">
        <f t="shared" si="3"/>
        <v>85.250879999999995</v>
      </c>
      <c r="I24" s="7">
        <f t="shared" si="4"/>
        <v>7.5</v>
      </c>
      <c r="J24" s="7">
        <f t="shared" si="5"/>
        <v>463.40687999999994</v>
      </c>
    </row>
    <row r="25" spans="1:10">
      <c r="A25" s="5" t="s">
        <v>170</v>
      </c>
      <c r="B25" s="5" t="s">
        <v>171</v>
      </c>
      <c r="C25" s="5">
        <v>4</v>
      </c>
      <c r="D25" s="12">
        <v>137</v>
      </c>
      <c r="E25" s="7">
        <f t="shared" si="0"/>
        <v>548</v>
      </c>
      <c r="F25" s="7">
        <f t="shared" si="1"/>
        <v>21.92</v>
      </c>
      <c r="G25" s="7">
        <f t="shared" si="2"/>
        <v>526.08000000000004</v>
      </c>
      <c r="H25" s="7">
        <f t="shared" si="3"/>
        <v>120.99840000000002</v>
      </c>
      <c r="I25" s="7">
        <f t="shared" si="4"/>
        <v>7.5</v>
      </c>
      <c r="J25" s="7">
        <f t="shared" si="5"/>
        <v>654.5784000000001</v>
      </c>
    </row>
    <row r="26" spans="1:10">
      <c r="A26" s="5" t="s">
        <v>172</v>
      </c>
      <c r="B26" s="5" t="s">
        <v>173</v>
      </c>
      <c r="C26" s="5">
        <v>5</v>
      </c>
      <c r="D26" s="12">
        <v>145.30000000000001</v>
      </c>
      <c r="E26" s="7">
        <f t="shared" si="0"/>
        <v>726.5</v>
      </c>
      <c r="F26" s="7">
        <f t="shared" si="1"/>
        <v>29.060000000000002</v>
      </c>
      <c r="G26" s="7">
        <f t="shared" si="2"/>
        <v>697.44</v>
      </c>
      <c r="H26" s="7">
        <f t="shared" si="3"/>
        <v>160.41120000000001</v>
      </c>
      <c r="I26" s="7">
        <f t="shared" si="4"/>
        <v>7.5</v>
      </c>
      <c r="J26" s="7">
        <f t="shared" si="5"/>
        <v>865.35120000000006</v>
      </c>
    </row>
    <row r="27" spans="1:10">
      <c r="A27" s="5" t="s">
        <v>174</v>
      </c>
      <c r="B27" s="5" t="s">
        <v>175</v>
      </c>
      <c r="C27" s="5">
        <v>6</v>
      </c>
      <c r="D27" s="12">
        <v>153.6</v>
      </c>
      <c r="E27" s="7">
        <f t="shared" si="0"/>
        <v>921.59999999999991</v>
      </c>
      <c r="F27" s="7">
        <f t="shared" si="1"/>
        <v>36.863999999999997</v>
      </c>
      <c r="G27" s="7">
        <f t="shared" si="2"/>
        <v>884.73599999999988</v>
      </c>
      <c r="H27" s="7">
        <f t="shared" si="3"/>
        <v>203.48927999999998</v>
      </c>
      <c r="I27" s="7">
        <f t="shared" si="4"/>
        <v>7.5</v>
      </c>
      <c r="J27" s="7">
        <f t="shared" si="5"/>
        <v>1095.7252799999999</v>
      </c>
    </row>
    <row r="28" spans="1:10">
      <c r="A28" s="5" t="s">
        <v>176</v>
      </c>
      <c r="B28" s="5" t="s">
        <v>177</v>
      </c>
      <c r="C28" s="5">
        <v>1</v>
      </c>
      <c r="D28" s="12">
        <v>161.9</v>
      </c>
      <c r="E28" s="7">
        <f t="shared" si="0"/>
        <v>161.9</v>
      </c>
      <c r="F28" s="7">
        <f t="shared" si="1"/>
        <v>6.476</v>
      </c>
      <c r="G28" s="7">
        <f t="shared" si="2"/>
        <v>155.42400000000001</v>
      </c>
      <c r="H28" s="7">
        <f t="shared" si="3"/>
        <v>35.747520000000002</v>
      </c>
      <c r="I28" s="7">
        <f t="shared" si="4"/>
        <v>7.5</v>
      </c>
      <c r="J28" s="7">
        <f t="shared" si="5"/>
        <v>198.67152000000002</v>
      </c>
    </row>
    <row r="29" spans="1:10">
      <c r="A29" s="5" t="s">
        <v>178</v>
      </c>
      <c r="B29" s="5" t="s">
        <v>179</v>
      </c>
      <c r="C29" s="5">
        <v>2</v>
      </c>
      <c r="D29" s="12">
        <v>170.2</v>
      </c>
      <c r="E29" s="7">
        <f t="shared" si="0"/>
        <v>340.4</v>
      </c>
      <c r="F29" s="7">
        <f t="shared" si="1"/>
        <v>13.616</v>
      </c>
      <c r="G29" s="7">
        <f t="shared" si="2"/>
        <v>326.78399999999999</v>
      </c>
      <c r="H29" s="7">
        <f t="shared" si="3"/>
        <v>75.160319999999999</v>
      </c>
      <c r="I29" s="7">
        <f t="shared" si="4"/>
        <v>7.5</v>
      </c>
      <c r="J29" s="7">
        <f t="shared" si="5"/>
        <v>409.44432</v>
      </c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7" t="s">
        <v>180</v>
      </c>
      <c r="B31" s="38"/>
      <c r="C31" s="38"/>
      <c r="D31" s="38"/>
      <c r="E31" s="38"/>
      <c r="F31" s="38"/>
      <c r="G31" s="38"/>
      <c r="H31" s="38"/>
      <c r="I31" s="38"/>
      <c r="J31" s="39"/>
    </row>
    <row r="32" spans="1:10">
      <c r="A32" s="40"/>
      <c r="B32" s="41"/>
      <c r="C32" s="41"/>
      <c r="D32" s="41"/>
      <c r="E32" s="41"/>
      <c r="F32" s="41"/>
      <c r="G32" s="41"/>
      <c r="H32" s="41"/>
      <c r="I32" s="41"/>
      <c r="J32" s="42"/>
    </row>
    <row r="33" spans="1:10">
      <c r="A33" s="43"/>
      <c r="B33" s="44"/>
      <c r="C33" s="44"/>
      <c r="D33" s="44"/>
      <c r="E33" s="44"/>
      <c r="F33" s="44"/>
      <c r="G33" s="44"/>
      <c r="H33" s="44"/>
      <c r="I33" s="44"/>
      <c r="J33" s="45"/>
    </row>
  </sheetData>
  <mergeCells count="4">
    <mergeCell ref="A1:J1"/>
    <mergeCell ref="A2:J2"/>
    <mergeCell ref="D4:J7"/>
    <mergeCell ref="A31:J3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7"/>
  <sheetViews>
    <sheetView showGridLines="0" workbookViewId="0">
      <selection activeCell="A25" sqref="A25:H27"/>
    </sheetView>
  </sheetViews>
  <sheetFormatPr defaultColWidth="8.7109375" defaultRowHeight="15"/>
  <cols>
    <col min="1" max="1" width="14.5703125" bestFit="1" customWidth="1"/>
    <col min="2" max="2" width="18" bestFit="1" customWidth="1"/>
    <col min="3" max="3" width="10.28515625" bestFit="1" customWidth="1"/>
    <col min="4" max="4" width="15.28515625" customWidth="1"/>
    <col min="5" max="5" width="14.85546875" bestFit="1" customWidth="1"/>
    <col min="6" max="7" width="18.5703125" bestFit="1" customWidth="1"/>
    <col min="8" max="8" width="25.140625" bestFit="1" customWidth="1"/>
  </cols>
  <sheetData>
    <row r="1" spans="1:9" ht="20.25">
      <c r="A1" s="30" t="s">
        <v>181</v>
      </c>
      <c r="B1" s="30"/>
      <c r="C1" s="30"/>
      <c r="D1" s="30"/>
      <c r="E1" s="30"/>
      <c r="F1" s="30"/>
      <c r="G1" s="30"/>
      <c r="H1" s="30"/>
      <c r="I1" s="30"/>
    </row>
    <row r="2" spans="1:9">
      <c r="A2" s="31" t="s">
        <v>182</v>
      </c>
      <c r="B2" s="31"/>
      <c r="C2" s="31"/>
      <c r="D2" s="31"/>
      <c r="E2" s="31"/>
      <c r="F2" s="31"/>
      <c r="G2" s="31"/>
      <c r="H2" s="31"/>
      <c r="I2" s="31"/>
    </row>
    <row r="3" spans="1:9">
      <c r="A3" s="3"/>
      <c r="B3" s="3"/>
      <c r="C3" s="3"/>
      <c r="D3" s="3"/>
      <c r="E3" s="3"/>
      <c r="F3" s="3"/>
      <c r="G3" s="3"/>
      <c r="H3" s="3"/>
      <c r="I3" s="3"/>
    </row>
    <row r="4" spans="1:9">
      <c r="A4" s="32" t="s">
        <v>183</v>
      </c>
      <c r="B4" s="32"/>
      <c r="C4" s="32"/>
      <c r="D4" s="32"/>
      <c r="E4" s="32"/>
      <c r="F4" s="32"/>
      <c r="G4" s="32"/>
      <c r="H4" s="32"/>
      <c r="I4" s="32"/>
    </row>
    <row r="5" spans="1:9">
      <c r="A5" s="32"/>
      <c r="B5" s="32"/>
      <c r="C5" s="32"/>
      <c r="D5" s="32"/>
      <c r="E5" s="32"/>
      <c r="F5" s="32"/>
      <c r="G5" s="32"/>
      <c r="H5" s="32"/>
      <c r="I5" s="32"/>
    </row>
    <row r="6" spans="1:9">
      <c r="A6" s="3"/>
      <c r="B6" s="3"/>
      <c r="C6" s="3"/>
      <c r="D6" s="3"/>
      <c r="E6" s="3"/>
      <c r="F6" s="3"/>
      <c r="G6" s="3"/>
      <c r="H6" s="3"/>
      <c r="I6" s="3"/>
    </row>
    <row r="7" spans="1:9">
      <c r="A7" s="2" t="s">
        <v>74</v>
      </c>
      <c r="B7" s="2" t="s">
        <v>184</v>
      </c>
      <c r="C7" s="15">
        <v>0</v>
      </c>
      <c r="D7" s="15">
        <v>0.05</v>
      </c>
      <c r="E7" s="15">
        <v>0.1</v>
      </c>
      <c r="F7" s="15">
        <v>0.15</v>
      </c>
      <c r="G7" s="15">
        <v>0.2</v>
      </c>
      <c r="H7" s="15">
        <v>0.25</v>
      </c>
      <c r="I7" s="3"/>
    </row>
    <row r="8" spans="1:9">
      <c r="A8" s="5" t="s">
        <v>185</v>
      </c>
      <c r="B8" s="12">
        <v>34.9</v>
      </c>
      <c r="C8" s="7">
        <f t="shared" ref="C8:H19" si="0">$B8*(1-C$7)</f>
        <v>34.9</v>
      </c>
      <c r="D8" s="7">
        <f t="shared" si="0"/>
        <v>33.154999999999994</v>
      </c>
      <c r="E8" s="7">
        <f t="shared" si="0"/>
        <v>31.41</v>
      </c>
      <c r="F8" s="7">
        <f t="shared" si="0"/>
        <v>29.664999999999999</v>
      </c>
      <c r="G8" s="7">
        <f t="shared" si="0"/>
        <v>27.92</v>
      </c>
      <c r="H8" s="7">
        <f t="shared" si="0"/>
        <v>26.174999999999997</v>
      </c>
      <c r="I8" s="3"/>
    </row>
    <row r="9" spans="1:9">
      <c r="A9" s="5" t="s">
        <v>186</v>
      </c>
      <c r="B9" s="12">
        <v>18.5</v>
      </c>
      <c r="C9" s="7">
        <f t="shared" si="0"/>
        <v>18.5</v>
      </c>
      <c r="D9" s="7">
        <f t="shared" si="0"/>
        <v>17.574999999999999</v>
      </c>
      <c r="E9" s="7">
        <f t="shared" si="0"/>
        <v>16.650000000000002</v>
      </c>
      <c r="F9" s="7">
        <f t="shared" si="0"/>
        <v>15.725</v>
      </c>
      <c r="G9" s="7">
        <f t="shared" si="0"/>
        <v>14.8</v>
      </c>
      <c r="H9" s="7">
        <f t="shared" si="0"/>
        <v>13.875</v>
      </c>
      <c r="I9" s="3"/>
    </row>
    <row r="10" spans="1:9">
      <c r="A10" s="5" t="s">
        <v>187</v>
      </c>
      <c r="B10" s="12">
        <v>12.75</v>
      </c>
      <c r="C10" s="7">
        <f t="shared" si="0"/>
        <v>12.75</v>
      </c>
      <c r="D10" s="7">
        <f t="shared" si="0"/>
        <v>12.112499999999999</v>
      </c>
      <c r="E10" s="7">
        <f t="shared" si="0"/>
        <v>11.475</v>
      </c>
      <c r="F10" s="7">
        <f t="shared" si="0"/>
        <v>10.8375</v>
      </c>
      <c r="G10" s="7">
        <f t="shared" si="0"/>
        <v>10.200000000000001</v>
      </c>
      <c r="H10" s="7">
        <f t="shared" si="0"/>
        <v>9.5625</v>
      </c>
      <c r="I10" s="3"/>
    </row>
    <row r="11" spans="1:9">
      <c r="A11" s="5" t="s">
        <v>109</v>
      </c>
      <c r="B11" s="12">
        <v>22.4</v>
      </c>
      <c r="C11" s="7">
        <f t="shared" si="0"/>
        <v>22.4</v>
      </c>
      <c r="D11" s="7">
        <f t="shared" si="0"/>
        <v>21.279999999999998</v>
      </c>
      <c r="E11" s="7">
        <f t="shared" si="0"/>
        <v>20.16</v>
      </c>
      <c r="F11" s="7">
        <f t="shared" si="0"/>
        <v>19.04</v>
      </c>
      <c r="G11" s="7">
        <f t="shared" si="0"/>
        <v>17.919999999999998</v>
      </c>
      <c r="H11" s="7">
        <f t="shared" si="0"/>
        <v>16.799999999999997</v>
      </c>
      <c r="I11" s="3"/>
    </row>
    <row r="12" spans="1:9">
      <c r="A12" s="5" t="s">
        <v>188</v>
      </c>
      <c r="B12" s="12">
        <v>8.9499999999999993</v>
      </c>
      <c r="C12" s="7">
        <f t="shared" si="0"/>
        <v>8.9499999999999993</v>
      </c>
      <c r="D12" s="7">
        <f t="shared" si="0"/>
        <v>8.5024999999999995</v>
      </c>
      <c r="E12" s="7">
        <f t="shared" si="0"/>
        <v>8.0549999999999997</v>
      </c>
      <c r="F12" s="7">
        <f t="shared" si="0"/>
        <v>7.607499999999999</v>
      </c>
      <c r="G12" s="7">
        <f t="shared" si="0"/>
        <v>7.16</v>
      </c>
      <c r="H12" s="7">
        <f t="shared" si="0"/>
        <v>6.7124999999999995</v>
      </c>
      <c r="I12" s="3"/>
    </row>
    <row r="13" spans="1:9">
      <c r="A13" s="5" t="s">
        <v>189</v>
      </c>
      <c r="B13" s="12">
        <v>29.9</v>
      </c>
      <c r="C13" s="7">
        <f t="shared" si="0"/>
        <v>29.9</v>
      </c>
      <c r="D13" s="7">
        <f t="shared" si="0"/>
        <v>28.404999999999998</v>
      </c>
      <c r="E13" s="7">
        <f t="shared" si="0"/>
        <v>26.91</v>
      </c>
      <c r="F13" s="7">
        <f t="shared" si="0"/>
        <v>25.414999999999999</v>
      </c>
      <c r="G13" s="7">
        <f t="shared" si="0"/>
        <v>23.92</v>
      </c>
      <c r="H13" s="7">
        <f t="shared" si="0"/>
        <v>22.424999999999997</v>
      </c>
      <c r="I13" s="3"/>
    </row>
    <row r="14" spans="1:9">
      <c r="A14" s="5" t="s">
        <v>155</v>
      </c>
      <c r="B14" s="12">
        <v>41.5</v>
      </c>
      <c r="C14" s="7">
        <f t="shared" si="0"/>
        <v>41.5</v>
      </c>
      <c r="D14" s="7">
        <f t="shared" si="0"/>
        <v>39.424999999999997</v>
      </c>
      <c r="E14" s="7">
        <f t="shared" si="0"/>
        <v>37.35</v>
      </c>
      <c r="F14" s="7">
        <f t="shared" si="0"/>
        <v>35.274999999999999</v>
      </c>
      <c r="G14" s="7">
        <f t="shared" si="0"/>
        <v>33.200000000000003</v>
      </c>
      <c r="H14" s="7">
        <f t="shared" si="0"/>
        <v>31.125</v>
      </c>
      <c r="I14" s="3"/>
    </row>
    <row r="15" spans="1:9">
      <c r="A15" s="5" t="s">
        <v>190</v>
      </c>
      <c r="B15" s="12">
        <v>89.9</v>
      </c>
      <c r="C15" s="7">
        <f t="shared" si="0"/>
        <v>89.9</v>
      </c>
      <c r="D15" s="7">
        <f t="shared" si="0"/>
        <v>85.405000000000001</v>
      </c>
      <c r="E15" s="7">
        <f t="shared" si="0"/>
        <v>80.910000000000011</v>
      </c>
      <c r="F15" s="7">
        <f t="shared" si="0"/>
        <v>76.415000000000006</v>
      </c>
      <c r="G15" s="7">
        <f t="shared" si="0"/>
        <v>71.92</v>
      </c>
      <c r="H15" s="7">
        <f t="shared" si="0"/>
        <v>67.425000000000011</v>
      </c>
      <c r="I15" s="3"/>
    </row>
    <row r="16" spans="1:9">
      <c r="A16" s="5" t="s">
        <v>191</v>
      </c>
      <c r="B16" s="12">
        <v>149.9</v>
      </c>
      <c r="C16" s="7">
        <f t="shared" si="0"/>
        <v>149.9</v>
      </c>
      <c r="D16" s="7">
        <f t="shared" si="0"/>
        <v>142.405</v>
      </c>
      <c r="E16" s="7">
        <f t="shared" si="0"/>
        <v>134.91</v>
      </c>
      <c r="F16" s="7">
        <f t="shared" si="0"/>
        <v>127.41500000000001</v>
      </c>
      <c r="G16" s="7">
        <f t="shared" si="0"/>
        <v>119.92000000000002</v>
      </c>
      <c r="H16" s="7">
        <f t="shared" si="0"/>
        <v>112.42500000000001</v>
      </c>
      <c r="I16" s="3"/>
    </row>
    <row r="17" spans="1:9">
      <c r="A17" s="5" t="s">
        <v>192</v>
      </c>
      <c r="B17" s="12">
        <v>219</v>
      </c>
      <c r="C17" s="7">
        <f t="shared" si="0"/>
        <v>219</v>
      </c>
      <c r="D17" s="7">
        <f t="shared" si="0"/>
        <v>208.04999999999998</v>
      </c>
      <c r="E17" s="7">
        <f t="shared" si="0"/>
        <v>197.1</v>
      </c>
      <c r="F17" s="7">
        <f t="shared" si="0"/>
        <v>186.15</v>
      </c>
      <c r="G17" s="7">
        <f t="shared" si="0"/>
        <v>175.20000000000002</v>
      </c>
      <c r="H17" s="7">
        <f t="shared" si="0"/>
        <v>164.25</v>
      </c>
      <c r="I17" s="3"/>
    </row>
    <row r="18" spans="1:9">
      <c r="A18" s="5" t="s">
        <v>193</v>
      </c>
      <c r="B18" s="12">
        <v>54.5</v>
      </c>
      <c r="C18" s="7">
        <f t="shared" si="0"/>
        <v>54.5</v>
      </c>
      <c r="D18" s="7">
        <f t="shared" si="0"/>
        <v>51.774999999999999</v>
      </c>
      <c r="E18" s="7">
        <f t="shared" si="0"/>
        <v>49.050000000000004</v>
      </c>
      <c r="F18" s="7">
        <f t="shared" si="0"/>
        <v>46.324999999999996</v>
      </c>
      <c r="G18" s="7">
        <f t="shared" si="0"/>
        <v>43.6</v>
      </c>
      <c r="H18" s="7">
        <f t="shared" si="0"/>
        <v>40.875</v>
      </c>
      <c r="I18" s="3"/>
    </row>
    <row r="19" spans="1:9">
      <c r="A19" s="5" t="s">
        <v>194</v>
      </c>
      <c r="B19" s="12">
        <v>76.8</v>
      </c>
      <c r="C19" s="7">
        <f t="shared" si="0"/>
        <v>76.8</v>
      </c>
      <c r="D19" s="7">
        <f t="shared" si="0"/>
        <v>72.959999999999994</v>
      </c>
      <c r="E19" s="7">
        <f t="shared" si="0"/>
        <v>69.12</v>
      </c>
      <c r="F19" s="7">
        <f t="shared" si="0"/>
        <v>65.28</v>
      </c>
      <c r="G19" s="7">
        <f t="shared" si="0"/>
        <v>61.44</v>
      </c>
      <c r="H19" s="7">
        <f t="shared" si="0"/>
        <v>57.599999999999994</v>
      </c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 ht="25.5">
      <c r="A21" s="2" t="s">
        <v>195</v>
      </c>
      <c r="B21" s="2" t="s">
        <v>196</v>
      </c>
      <c r="C21" s="2" t="s">
        <v>197</v>
      </c>
      <c r="D21" s="2" t="s">
        <v>198</v>
      </c>
      <c r="E21" s="2" t="s">
        <v>199</v>
      </c>
      <c r="F21" s="2" t="s">
        <v>200</v>
      </c>
      <c r="G21" s="2" t="s">
        <v>201</v>
      </c>
      <c r="H21" s="2" t="s">
        <v>202</v>
      </c>
      <c r="I21" s="3"/>
    </row>
    <row r="22" spans="1:9" ht="25.5">
      <c r="A22" s="5" t="s">
        <v>184</v>
      </c>
      <c r="B22" s="16" t="s">
        <v>203</v>
      </c>
      <c r="C22" s="16" t="s">
        <v>204</v>
      </c>
      <c r="D22" s="16" t="s">
        <v>205</v>
      </c>
      <c r="E22" s="16">
        <f>$B8*(1-C$7)</f>
        <v>34.9</v>
      </c>
      <c r="F22" s="17" t="s">
        <v>206</v>
      </c>
      <c r="G22" s="17" t="s">
        <v>207</v>
      </c>
      <c r="H22" s="16" t="s">
        <v>208</v>
      </c>
      <c r="I22" s="3"/>
    </row>
    <row r="23" spans="1:9" ht="25.5">
      <c r="A23" s="5" t="s">
        <v>209</v>
      </c>
      <c r="B23" s="16" t="s">
        <v>210</v>
      </c>
      <c r="C23" s="16" t="s">
        <v>211</v>
      </c>
      <c r="D23" s="16" t="s">
        <v>212</v>
      </c>
      <c r="E23" s="16">
        <f>$B8*(1-C$7)</f>
        <v>34.9</v>
      </c>
      <c r="F23" s="17" t="s">
        <v>207</v>
      </c>
      <c r="G23" s="17" t="s">
        <v>206</v>
      </c>
      <c r="H23" s="16" t="s">
        <v>213</v>
      </c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2" t="s">
        <v>214</v>
      </c>
      <c r="B25" s="32"/>
      <c r="C25" s="32"/>
      <c r="D25" s="32"/>
      <c r="E25" s="32"/>
      <c r="F25" s="32"/>
      <c r="G25" s="32"/>
      <c r="H25" s="32"/>
      <c r="I25" s="3"/>
    </row>
    <row r="26" spans="1:9">
      <c r="A26" s="32"/>
      <c r="B26" s="32"/>
      <c r="C26" s="32"/>
      <c r="D26" s="32"/>
      <c r="E26" s="32"/>
      <c r="F26" s="32"/>
      <c r="G26" s="32"/>
      <c r="H26" s="32"/>
      <c r="I26" s="3"/>
    </row>
    <row r="27" spans="1:9">
      <c r="A27" s="32"/>
      <c r="B27" s="32"/>
      <c r="C27" s="32"/>
      <c r="D27" s="32"/>
      <c r="E27" s="32"/>
      <c r="F27" s="32"/>
      <c r="G27" s="32"/>
      <c r="H27" s="32"/>
      <c r="I27" s="3"/>
    </row>
  </sheetData>
  <mergeCells count="4">
    <mergeCell ref="A1:I1"/>
    <mergeCell ref="A2:I2"/>
    <mergeCell ref="A4:I5"/>
    <mergeCell ref="A25:H2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7"/>
  <sheetViews>
    <sheetView showGridLines="0" topLeftCell="A9" workbookViewId="0">
      <selection activeCell="A25" sqref="A25:I27"/>
    </sheetView>
  </sheetViews>
  <sheetFormatPr defaultColWidth="8.7109375" defaultRowHeight="15"/>
  <cols>
    <col min="1" max="1" width="20.7109375" bestFit="1" customWidth="1"/>
    <col min="2" max="2" width="34.5703125" bestFit="1" customWidth="1"/>
    <col min="3" max="3" width="13.140625" bestFit="1" customWidth="1"/>
    <col min="4" max="4" width="20.28515625" bestFit="1" customWidth="1"/>
    <col min="5" max="5" width="43.42578125" bestFit="1" customWidth="1"/>
    <col min="6" max="6" width="52" bestFit="1" customWidth="1"/>
    <col min="7" max="7" width="11.5703125" bestFit="1" customWidth="1"/>
    <col min="8" max="8" width="13.140625" bestFit="1" customWidth="1"/>
    <col min="9" max="9" width="20.140625" bestFit="1" customWidth="1"/>
  </cols>
  <sheetData>
    <row r="1" spans="1:9" ht="20.25">
      <c r="A1" s="30" t="s">
        <v>215</v>
      </c>
      <c r="B1" s="30"/>
      <c r="C1" s="30"/>
      <c r="D1" s="30"/>
      <c r="E1" s="30"/>
      <c r="F1" s="30"/>
      <c r="G1" s="30"/>
      <c r="H1" s="30"/>
      <c r="I1" s="30"/>
    </row>
    <row r="2" spans="1:9">
      <c r="A2" s="31" t="s">
        <v>216</v>
      </c>
      <c r="B2" s="31"/>
      <c r="C2" s="31"/>
      <c r="D2" s="31"/>
      <c r="E2" s="31"/>
      <c r="F2" s="31"/>
      <c r="G2" s="31"/>
      <c r="H2" s="31"/>
      <c r="I2" s="31"/>
    </row>
    <row r="3" spans="1:9">
      <c r="A3" s="3"/>
      <c r="B3" s="3"/>
      <c r="C3" s="3"/>
      <c r="D3" s="3"/>
      <c r="E3" s="3"/>
      <c r="F3" s="3"/>
      <c r="G3" s="3"/>
      <c r="H3" s="3"/>
      <c r="I3" s="3"/>
    </row>
    <row r="4" spans="1:9">
      <c r="A4" s="32" t="s">
        <v>217</v>
      </c>
      <c r="B4" s="32"/>
      <c r="C4" s="32"/>
      <c r="D4" s="32"/>
      <c r="E4" s="32"/>
      <c r="F4" s="32"/>
      <c r="G4" s="32"/>
      <c r="H4" s="32"/>
      <c r="I4" s="32"/>
    </row>
    <row r="5" spans="1:9">
      <c r="A5" s="32"/>
      <c r="B5" s="32"/>
      <c r="C5" s="32"/>
      <c r="D5" s="32"/>
      <c r="E5" s="32"/>
      <c r="F5" s="32"/>
      <c r="G5" s="32"/>
      <c r="H5" s="32"/>
      <c r="I5" s="32"/>
    </row>
    <row r="6" spans="1:9">
      <c r="A6" s="3"/>
      <c r="B6" s="3"/>
      <c r="C6" s="3"/>
      <c r="D6" s="3"/>
      <c r="E6" s="3"/>
      <c r="F6" s="3"/>
      <c r="G6" s="3"/>
      <c r="H6" s="3"/>
      <c r="I6" s="3"/>
    </row>
    <row r="7" spans="1:9" ht="25.5" customHeight="1">
      <c r="A7" s="2" t="s">
        <v>24</v>
      </c>
      <c r="B7" s="2" t="s">
        <v>218</v>
      </c>
      <c r="C7" s="2" t="s">
        <v>219</v>
      </c>
      <c r="D7" s="2" t="s">
        <v>220</v>
      </c>
      <c r="E7" s="2" t="s">
        <v>221</v>
      </c>
      <c r="F7" s="2" t="s">
        <v>222</v>
      </c>
      <c r="G7" s="2" t="s">
        <v>223</v>
      </c>
      <c r="H7" s="2" t="s">
        <v>224</v>
      </c>
      <c r="I7" s="2" t="s">
        <v>225</v>
      </c>
    </row>
    <row r="8" spans="1:9" s="29" customFormat="1" ht="42" customHeight="1">
      <c r="A8" s="5" t="s">
        <v>226</v>
      </c>
      <c r="B8" s="5" t="s">
        <v>227</v>
      </c>
      <c r="C8" s="5" t="s">
        <v>228</v>
      </c>
      <c r="D8" s="5" t="s">
        <v>229</v>
      </c>
      <c r="E8" s="28" t="s">
        <v>230</v>
      </c>
      <c r="F8" s="28" t="s">
        <v>231</v>
      </c>
      <c r="G8" s="28" t="s">
        <v>232</v>
      </c>
      <c r="H8" s="28" t="s">
        <v>233</v>
      </c>
      <c r="I8" s="28" t="s">
        <v>234</v>
      </c>
    </row>
    <row r="9" spans="1:9" s="29" customFormat="1" ht="42" customHeight="1">
      <c r="A9" s="5" t="s">
        <v>235</v>
      </c>
      <c r="B9" s="5" t="s">
        <v>236</v>
      </c>
      <c r="C9" s="5" t="s">
        <v>237</v>
      </c>
      <c r="D9" s="5" t="s">
        <v>238</v>
      </c>
      <c r="E9" s="28" t="s">
        <v>239</v>
      </c>
      <c r="F9" s="28" t="s">
        <v>364</v>
      </c>
      <c r="G9" s="28" t="s">
        <v>240</v>
      </c>
      <c r="H9" s="28" t="s">
        <v>241</v>
      </c>
      <c r="I9" s="28" t="s">
        <v>242</v>
      </c>
    </row>
    <row r="10" spans="1:9" s="29" customFormat="1" ht="42" customHeight="1">
      <c r="A10" s="5" t="s">
        <v>243</v>
      </c>
      <c r="B10" s="5" t="s">
        <v>244</v>
      </c>
      <c r="C10" s="5" t="s">
        <v>245</v>
      </c>
      <c r="D10" s="5" t="s">
        <v>246</v>
      </c>
      <c r="E10" s="28" t="s">
        <v>247</v>
      </c>
      <c r="F10" s="28" t="s">
        <v>248</v>
      </c>
      <c r="G10" s="28" t="s">
        <v>249</v>
      </c>
      <c r="H10" s="28" t="s">
        <v>250</v>
      </c>
      <c r="I10" s="28" t="s">
        <v>251</v>
      </c>
    </row>
    <row r="11" spans="1:9" s="29" customFormat="1" ht="42" customHeight="1">
      <c r="A11" s="5" t="s">
        <v>252</v>
      </c>
      <c r="B11" s="5" t="s">
        <v>253</v>
      </c>
      <c r="C11" s="5" t="s">
        <v>254</v>
      </c>
      <c r="D11" s="5" t="s">
        <v>255</v>
      </c>
      <c r="E11" s="28" t="s">
        <v>256</v>
      </c>
      <c r="F11" s="28" t="s">
        <v>257</v>
      </c>
      <c r="G11" s="28" t="s">
        <v>258</v>
      </c>
      <c r="H11" s="28" t="s">
        <v>250</v>
      </c>
      <c r="I11" s="28" t="s">
        <v>251</v>
      </c>
    </row>
    <row r="12" spans="1:9" s="29" customFormat="1" ht="42" customHeight="1">
      <c r="A12" s="5" t="s">
        <v>259</v>
      </c>
      <c r="B12" s="5" t="s">
        <v>260</v>
      </c>
      <c r="C12" s="5" t="s">
        <v>261</v>
      </c>
      <c r="D12" s="5" t="s">
        <v>262</v>
      </c>
      <c r="E12" s="28" t="s">
        <v>263</v>
      </c>
      <c r="F12" s="28" t="s">
        <v>264</v>
      </c>
      <c r="G12" s="28" t="s">
        <v>265</v>
      </c>
      <c r="H12" s="28" t="s">
        <v>266</v>
      </c>
      <c r="I12" s="28" t="s">
        <v>267</v>
      </c>
    </row>
    <row r="13" spans="1:9" s="29" customFormat="1" ht="42" customHeight="1">
      <c r="A13" s="5" t="s">
        <v>268</v>
      </c>
      <c r="B13" s="5" t="s">
        <v>269</v>
      </c>
      <c r="C13" s="5" t="s">
        <v>270</v>
      </c>
      <c r="D13" s="5" t="s">
        <v>271</v>
      </c>
      <c r="E13" s="28" t="s">
        <v>272</v>
      </c>
      <c r="F13" s="28" t="s">
        <v>273</v>
      </c>
      <c r="G13" s="28" t="s">
        <v>274</v>
      </c>
      <c r="H13" s="28" t="s">
        <v>241</v>
      </c>
      <c r="I13" s="28" t="s">
        <v>275</v>
      </c>
    </row>
    <row r="14" spans="1:9" s="29" customFormat="1" ht="42" customHeight="1">
      <c r="A14" s="5" t="s">
        <v>276</v>
      </c>
      <c r="B14" s="5" t="s">
        <v>277</v>
      </c>
      <c r="C14" s="5" t="s">
        <v>278</v>
      </c>
      <c r="D14" s="5" t="s">
        <v>279</v>
      </c>
      <c r="E14" s="28" t="s">
        <v>280</v>
      </c>
      <c r="F14" s="28" t="s">
        <v>281</v>
      </c>
      <c r="G14" s="28" t="s">
        <v>282</v>
      </c>
      <c r="H14" s="28" t="s">
        <v>283</v>
      </c>
      <c r="I14" s="28" t="s">
        <v>284</v>
      </c>
    </row>
    <row r="15" spans="1:9" ht="15" customHeight="1">
      <c r="A15" s="3"/>
      <c r="B15" s="3"/>
      <c r="C15" s="3"/>
      <c r="D15" s="3"/>
      <c r="E15" s="3"/>
      <c r="F15" s="3"/>
      <c r="G15" s="3"/>
      <c r="H15" s="3"/>
      <c r="I15" s="3"/>
    </row>
    <row r="16" spans="1:9" ht="19.5" customHeight="1">
      <c r="A16" s="2" t="s">
        <v>285</v>
      </c>
      <c r="B16" s="2" t="s">
        <v>286</v>
      </c>
      <c r="C16" s="2" t="s">
        <v>287</v>
      </c>
      <c r="D16" s="2" t="s">
        <v>288</v>
      </c>
      <c r="E16" s="18" t="s">
        <v>289</v>
      </c>
      <c r="F16" s="19" t="s">
        <v>365</v>
      </c>
      <c r="G16" s="3"/>
      <c r="H16" s="3"/>
      <c r="I16" s="3"/>
    </row>
    <row r="17" spans="1:9" ht="19.5" customHeight="1">
      <c r="A17" s="5" t="s">
        <v>42</v>
      </c>
      <c r="B17" s="5">
        <v>180</v>
      </c>
      <c r="C17" s="5">
        <v>0</v>
      </c>
      <c r="D17" s="20"/>
      <c r="E17" s="17" t="s">
        <v>290</v>
      </c>
      <c r="F17" s="21" t="s">
        <v>291</v>
      </c>
      <c r="G17" s="3"/>
      <c r="H17" s="3"/>
      <c r="I17" s="3"/>
    </row>
    <row r="18" spans="1:9" ht="19.5" customHeight="1">
      <c r="A18" s="5" t="s">
        <v>292</v>
      </c>
      <c r="B18" s="5" t="s">
        <v>293</v>
      </c>
      <c r="C18" s="5">
        <v>8.5</v>
      </c>
      <c r="D18" s="20"/>
      <c r="E18" s="17" t="s">
        <v>294</v>
      </c>
      <c r="F18" s="17" t="s">
        <v>295</v>
      </c>
      <c r="G18" s="3"/>
      <c r="H18" s="3"/>
      <c r="I18" s="3"/>
    </row>
    <row r="19" spans="1:9" ht="19.5" customHeight="1">
      <c r="A19" s="5" t="s">
        <v>296</v>
      </c>
      <c r="B19" s="5">
        <v>120</v>
      </c>
      <c r="C19" s="5">
        <v>0.23</v>
      </c>
      <c r="D19" s="20"/>
      <c r="E19" s="17" t="s">
        <v>297</v>
      </c>
      <c r="F19" s="17" t="s">
        <v>297</v>
      </c>
      <c r="G19" s="3"/>
      <c r="H19" s="3"/>
      <c r="I19" s="3"/>
    </row>
    <row r="20" spans="1:9" ht="19.5" customHeight="1">
      <c r="A20" s="5" t="s">
        <v>298</v>
      </c>
      <c r="B20" s="5">
        <v>120</v>
      </c>
      <c r="C20" s="5">
        <v>0.23</v>
      </c>
      <c r="D20" s="20"/>
      <c r="E20" s="17" t="s">
        <v>299</v>
      </c>
      <c r="F20" s="17" t="s">
        <v>300</v>
      </c>
      <c r="G20" s="3"/>
      <c r="H20" s="3"/>
      <c r="I20" s="3"/>
    </row>
    <row r="21" spans="1:9" ht="19.5" customHeight="1">
      <c r="A21" s="5" t="s">
        <v>301</v>
      </c>
      <c r="B21" s="5">
        <v>100</v>
      </c>
      <c r="C21" s="5">
        <v>24</v>
      </c>
      <c r="D21" s="22">
        <v>6</v>
      </c>
      <c r="E21" s="17" t="s">
        <v>302</v>
      </c>
      <c r="F21" s="17" t="s">
        <v>303</v>
      </c>
      <c r="G21" s="3"/>
      <c r="H21" s="3"/>
      <c r="I21" s="3"/>
    </row>
    <row r="22" spans="1:9" ht="19.5" customHeight="1">
      <c r="A22" s="5" t="s">
        <v>304</v>
      </c>
      <c r="B22" s="5">
        <v>100</v>
      </c>
      <c r="C22" s="5">
        <v>24</v>
      </c>
      <c r="D22" s="22">
        <v>6</v>
      </c>
      <c r="E22" s="17" t="s">
        <v>305</v>
      </c>
      <c r="F22" s="17" t="s">
        <v>306</v>
      </c>
      <c r="G22" s="3"/>
      <c r="H22" s="3"/>
      <c r="I22" s="3"/>
    </row>
    <row r="23" spans="1:9" ht="15" customHeight="1">
      <c r="A23" s="5" t="s">
        <v>307</v>
      </c>
      <c r="B23" s="5">
        <v>123456789</v>
      </c>
      <c r="C23" s="5">
        <v>123456789</v>
      </c>
      <c r="D23" s="20"/>
      <c r="E23" s="14"/>
      <c r="F23" s="23"/>
      <c r="G23" s="3"/>
      <c r="H23" s="3"/>
      <c r="I23" s="3"/>
    </row>
    <row r="24" spans="1:9" ht="15" customHeight="1">
      <c r="A24" s="3"/>
      <c r="B24" s="3"/>
      <c r="C24" s="3"/>
      <c r="D24" s="3"/>
      <c r="E24" s="3"/>
      <c r="F24" s="3"/>
      <c r="G24" s="3"/>
      <c r="H24" s="3"/>
      <c r="I24" s="3"/>
    </row>
    <row r="25" spans="1:9" ht="15" customHeight="1">
      <c r="A25" s="32" t="s">
        <v>308</v>
      </c>
      <c r="B25" s="32"/>
      <c r="C25" s="32"/>
      <c r="D25" s="32"/>
      <c r="E25" s="32"/>
      <c r="F25" s="32"/>
      <c r="G25" s="32"/>
      <c r="H25" s="32"/>
      <c r="I25" s="32"/>
    </row>
    <row r="26" spans="1:9" ht="15" customHeight="1">
      <c r="A26" s="32"/>
      <c r="B26" s="32"/>
      <c r="C26" s="32"/>
      <c r="D26" s="32"/>
      <c r="E26" s="32"/>
      <c r="F26" s="32"/>
      <c r="G26" s="32"/>
      <c r="H26" s="32"/>
      <c r="I26" s="32"/>
    </row>
    <row r="27" spans="1:9" ht="15" customHeight="1">
      <c r="A27" s="32"/>
      <c r="B27" s="32"/>
      <c r="C27" s="32"/>
      <c r="D27" s="32"/>
      <c r="E27" s="32"/>
      <c r="F27" s="32"/>
      <c r="G27" s="32"/>
      <c r="H27" s="32"/>
      <c r="I27" s="32"/>
    </row>
  </sheetData>
  <mergeCells count="4">
    <mergeCell ref="A1:I1"/>
    <mergeCell ref="A2:I2"/>
    <mergeCell ref="A4:I5"/>
    <mergeCell ref="A25:I2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1"/>
  <sheetViews>
    <sheetView showGridLines="0" workbookViewId="0">
      <selection activeCell="G24" sqref="G24"/>
    </sheetView>
  </sheetViews>
  <sheetFormatPr defaultColWidth="8.7109375" defaultRowHeight="15"/>
  <cols>
    <col min="1" max="1" width="23.85546875" bestFit="1" customWidth="1"/>
    <col min="2" max="2" width="14" bestFit="1" customWidth="1"/>
    <col min="3" max="3" width="11.5703125" bestFit="1" customWidth="1"/>
    <col min="4" max="4" width="14" customWidth="1"/>
    <col min="5" max="5" width="13.7109375" customWidth="1"/>
    <col min="6" max="8" width="12.140625" customWidth="1"/>
    <col min="9" max="9" width="10.85546875" bestFit="1" customWidth="1"/>
    <col min="10" max="10" width="13.7109375" customWidth="1"/>
  </cols>
  <sheetData>
    <row r="1" spans="1:10" ht="20.25">
      <c r="A1" s="30" t="s">
        <v>309</v>
      </c>
      <c r="B1" s="30"/>
      <c r="C1" s="30"/>
      <c r="D1" s="30"/>
      <c r="E1" s="30"/>
      <c r="F1" s="30"/>
      <c r="G1" s="30"/>
      <c r="H1" s="30"/>
      <c r="I1" s="30"/>
      <c r="J1" s="30"/>
    </row>
    <row r="2" spans="1:10">
      <c r="A2" s="31" t="s">
        <v>310</v>
      </c>
      <c r="B2" s="31"/>
      <c r="C2" s="31"/>
      <c r="D2" s="31"/>
      <c r="E2" s="31"/>
      <c r="F2" s="31"/>
      <c r="G2" s="31"/>
      <c r="H2" s="31"/>
      <c r="I2" s="31"/>
      <c r="J2" s="31"/>
    </row>
    <row r="3" spans="1:10">
      <c r="A3" s="3"/>
      <c r="B3" s="3"/>
      <c r="C3" s="3"/>
      <c r="D3" s="3"/>
      <c r="E3" s="3"/>
      <c r="F3" s="3"/>
      <c r="G3" s="3"/>
      <c r="H3" s="3"/>
      <c r="I3" s="3"/>
      <c r="J3" s="3"/>
    </row>
    <row r="4" spans="1:10">
      <c r="A4" s="2" t="s">
        <v>130</v>
      </c>
      <c r="B4" s="2" t="s">
        <v>131</v>
      </c>
      <c r="C4" s="3"/>
      <c r="D4" s="32" t="s">
        <v>311</v>
      </c>
      <c r="E4" s="32"/>
      <c r="F4" s="32"/>
      <c r="G4" s="32"/>
      <c r="H4" s="32"/>
      <c r="I4" s="32"/>
      <c r="J4" s="32"/>
    </row>
    <row r="5" spans="1:10">
      <c r="A5" s="5" t="s">
        <v>137</v>
      </c>
      <c r="B5" s="13">
        <v>0.23</v>
      </c>
      <c r="C5" s="3"/>
      <c r="D5" s="32"/>
      <c r="E5" s="32"/>
      <c r="F5" s="32"/>
      <c r="G5" s="32"/>
      <c r="H5" s="32"/>
      <c r="I5" s="32"/>
      <c r="J5" s="32"/>
    </row>
    <row r="6" spans="1:10">
      <c r="A6" s="5" t="s">
        <v>312</v>
      </c>
      <c r="B6" s="13">
        <v>0.05</v>
      </c>
      <c r="C6" s="3"/>
      <c r="D6" s="32"/>
      <c r="E6" s="32"/>
      <c r="F6" s="32"/>
      <c r="G6" s="32"/>
      <c r="H6" s="32"/>
      <c r="I6" s="32"/>
      <c r="J6" s="32"/>
    </row>
    <row r="7" spans="1:10">
      <c r="A7" s="5" t="s">
        <v>313</v>
      </c>
      <c r="B7" s="12">
        <v>18</v>
      </c>
      <c r="C7" s="3"/>
      <c r="D7" s="32"/>
      <c r="E7" s="32"/>
      <c r="F7" s="32"/>
      <c r="G7" s="32"/>
      <c r="H7" s="32"/>
      <c r="I7" s="32"/>
      <c r="J7" s="32"/>
    </row>
    <row r="8" spans="1:10">
      <c r="A8" s="3" t="s">
        <v>314</v>
      </c>
      <c r="B8" s="3">
        <v>12</v>
      </c>
      <c r="C8" s="3"/>
      <c r="D8" s="3"/>
      <c r="E8" s="3"/>
      <c r="F8" s="3"/>
      <c r="G8" s="3"/>
      <c r="H8" s="3"/>
      <c r="I8" s="3"/>
      <c r="J8" s="3"/>
    </row>
    <row r="9" spans="1:10" ht="25.5">
      <c r="A9" s="2" t="s">
        <v>73</v>
      </c>
      <c r="B9" s="2" t="s">
        <v>315</v>
      </c>
      <c r="C9" s="2" t="s">
        <v>75</v>
      </c>
      <c r="D9" s="2" t="s">
        <v>76</v>
      </c>
      <c r="E9" s="2" t="s">
        <v>78</v>
      </c>
      <c r="F9" s="2" t="s">
        <v>316</v>
      </c>
      <c r="G9" s="2" t="s">
        <v>317</v>
      </c>
      <c r="H9" s="2" t="s">
        <v>137</v>
      </c>
      <c r="I9" s="2" t="s">
        <v>318</v>
      </c>
      <c r="J9" s="2" t="s">
        <v>319</v>
      </c>
    </row>
    <row r="10" spans="1:10">
      <c r="A10" s="5" t="s">
        <v>320</v>
      </c>
      <c r="B10" s="5" t="s">
        <v>321</v>
      </c>
      <c r="C10" s="5">
        <v>4</v>
      </c>
      <c r="D10" s="12">
        <v>749</v>
      </c>
      <c r="E10" s="7">
        <f t="shared" ref="E10:E21" si="0">C10*D10</f>
        <v>2996</v>
      </c>
      <c r="F10" s="7">
        <f t="shared" ref="F10:F21" si="1">E10*$B$6</f>
        <v>149.80000000000001</v>
      </c>
      <c r="G10" s="7">
        <f t="shared" ref="G10:G21" si="2">E10-F10</f>
        <v>2846.2</v>
      </c>
      <c r="H10" s="7">
        <f t="shared" ref="H10:H21" si="3">G10*$B$5</f>
        <v>654.62599999999998</v>
      </c>
      <c r="I10" s="7">
        <f t="shared" ref="I10:I21" si="4">$B$7/$B$8</f>
        <v>1.5</v>
      </c>
      <c r="J10" s="7">
        <f t="shared" ref="J10:J21" si="5">G10+H10+I10</f>
        <v>3502.326</v>
      </c>
    </row>
    <row r="11" spans="1:10">
      <c r="A11" s="5" t="s">
        <v>322</v>
      </c>
      <c r="B11" s="5" t="s">
        <v>145</v>
      </c>
      <c r="C11" s="5">
        <v>8</v>
      </c>
      <c r="D11" s="12">
        <v>189.5</v>
      </c>
      <c r="E11" s="7">
        <f t="shared" si="0"/>
        <v>1516</v>
      </c>
      <c r="F11" s="7">
        <f t="shared" si="1"/>
        <v>75.8</v>
      </c>
      <c r="G11" s="7">
        <f t="shared" si="2"/>
        <v>1440.2</v>
      </c>
      <c r="H11" s="7">
        <f t="shared" si="3"/>
        <v>331.24600000000004</v>
      </c>
      <c r="I11" s="7">
        <f t="shared" si="4"/>
        <v>1.5</v>
      </c>
      <c r="J11" s="7">
        <f t="shared" si="5"/>
        <v>1772.9460000000001</v>
      </c>
    </row>
    <row r="12" spans="1:10">
      <c r="A12" s="5" t="s">
        <v>323</v>
      </c>
      <c r="B12" s="5" t="s">
        <v>141</v>
      </c>
      <c r="C12" s="5">
        <v>8</v>
      </c>
      <c r="D12" s="12">
        <v>32.9</v>
      </c>
      <c r="E12" s="7">
        <f t="shared" si="0"/>
        <v>263.2</v>
      </c>
      <c r="F12" s="7">
        <f t="shared" si="1"/>
        <v>13.16</v>
      </c>
      <c r="G12" s="7">
        <f t="shared" si="2"/>
        <v>250.04</v>
      </c>
      <c r="H12" s="7">
        <f t="shared" si="3"/>
        <v>57.5092</v>
      </c>
      <c r="I12" s="7">
        <f t="shared" si="4"/>
        <v>1.5</v>
      </c>
      <c r="J12" s="7">
        <f t="shared" si="5"/>
        <v>309.04919999999998</v>
      </c>
    </row>
    <row r="13" spans="1:10">
      <c r="A13" s="5" t="s">
        <v>324</v>
      </c>
      <c r="B13" s="5" t="s">
        <v>143</v>
      </c>
      <c r="C13" s="5">
        <v>8</v>
      </c>
      <c r="D13" s="12">
        <v>18.5</v>
      </c>
      <c r="E13" s="7">
        <f t="shared" si="0"/>
        <v>148</v>
      </c>
      <c r="F13" s="7">
        <f t="shared" si="1"/>
        <v>7.4</v>
      </c>
      <c r="G13" s="7">
        <f t="shared" si="2"/>
        <v>140.6</v>
      </c>
      <c r="H13" s="7">
        <f t="shared" si="3"/>
        <v>32.338000000000001</v>
      </c>
      <c r="I13" s="7">
        <f t="shared" si="4"/>
        <v>1.5</v>
      </c>
      <c r="J13" s="7">
        <f t="shared" si="5"/>
        <v>174.43799999999999</v>
      </c>
    </row>
    <row r="14" spans="1:10">
      <c r="A14" s="5" t="s">
        <v>325</v>
      </c>
      <c r="B14" s="5" t="s">
        <v>147</v>
      </c>
      <c r="C14" s="5">
        <v>4</v>
      </c>
      <c r="D14" s="12">
        <v>54.9</v>
      </c>
      <c r="E14" s="7">
        <f t="shared" si="0"/>
        <v>219.6</v>
      </c>
      <c r="F14" s="7">
        <f t="shared" si="1"/>
        <v>10.98</v>
      </c>
      <c r="G14" s="7">
        <f t="shared" si="2"/>
        <v>208.62</v>
      </c>
      <c r="H14" s="7">
        <f t="shared" si="3"/>
        <v>47.982600000000005</v>
      </c>
      <c r="I14" s="7">
        <f t="shared" si="4"/>
        <v>1.5</v>
      </c>
      <c r="J14" s="7">
        <f t="shared" si="5"/>
        <v>258.1026</v>
      </c>
    </row>
    <row r="15" spans="1:10">
      <c r="A15" s="5" t="s">
        <v>326</v>
      </c>
      <c r="B15" s="5" t="s">
        <v>149</v>
      </c>
      <c r="C15" s="5">
        <v>8</v>
      </c>
      <c r="D15" s="12">
        <v>39.9</v>
      </c>
      <c r="E15" s="7">
        <f t="shared" si="0"/>
        <v>319.2</v>
      </c>
      <c r="F15" s="7">
        <f t="shared" si="1"/>
        <v>15.96</v>
      </c>
      <c r="G15" s="7">
        <f t="shared" si="2"/>
        <v>303.24</v>
      </c>
      <c r="H15" s="7">
        <f t="shared" si="3"/>
        <v>69.745200000000011</v>
      </c>
      <c r="I15" s="7">
        <f t="shared" si="4"/>
        <v>1.5</v>
      </c>
      <c r="J15" s="7">
        <f t="shared" si="5"/>
        <v>374.48520000000002</v>
      </c>
    </row>
    <row r="16" spans="1:10">
      <c r="A16" s="5" t="s">
        <v>327</v>
      </c>
      <c r="B16" s="5" t="s">
        <v>159</v>
      </c>
      <c r="C16" s="5">
        <v>4</v>
      </c>
      <c r="D16" s="12">
        <v>129</v>
      </c>
      <c r="E16" s="7">
        <f t="shared" si="0"/>
        <v>516</v>
      </c>
      <c r="F16" s="7">
        <f t="shared" si="1"/>
        <v>25.8</v>
      </c>
      <c r="G16" s="7">
        <f t="shared" si="2"/>
        <v>490.2</v>
      </c>
      <c r="H16" s="7">
        <f t="shared" si="3"/>
        <v>112.74600000000001</v>
      </c>
      <c r="I16" s="7">
        <f t="shared" si="4"/>
        <v>1.5</v>
      </c>
      <c r="J16" s="7">
        <f t="shared" si="5"/>
        <v>604.44600000000003</v>
      </c>
    </row>
    <row r="17" spans="1:10">
      <c r="A17" s="5" t="s">
        <v>328</v>
      </c>
      <c r="B17" s="5" t="s">
        <v>177</v>
      </c>
      <c r="C17" s="5">
        <v>1</v>
      </c>
      <c r="D17" s="12">
        <v>279</v>
      </c>
      <c r="E17" s="7">
        <f t="shared" si="0"/>
        <v>279</v>
      </c>
      <c r="F17" s="7">
        <f t="shared" si="1"/>
        <v>13.950000000000001</v>
      </c>
      <c r="G17" s="7">
        <f t="shared" si="2"/>
        <v>265.05</v>
      </c>
      <c r="H17" s="7">
        <f t="shared" si="3"/>
        <v>60.961500000000008</v>
      </c>
      <c r="I17" s="7">
        <f t="shared" si="4"/>
        <v>1.5</v>
      </c>
      <c r="J17" s="7">
        <f t="shared" si="5"/>
        <v>327.51150000000001</v>
      </c>
    </row>
    <row r="18" spans="1:10">
      <c r="A18" s="5" t="s">
        <v>329</v>
      </c>
      <c r="B18" s="5" t="s">
        <v>179</v>
      </c>
      <c r="C18" s="5">
        <v>1</v>
      </c>
      <c r="D18" s="12">
        <v>619</v>
      </c>
      <c r="E18" s="7">
        <f t="shared" si="0"/>
        <v>619</v>
      </c>
      <c r="F18" s="7">
        <f t="shared" si="1"/>
        <v>30.950000000000003</v>
      </c>
      <c r="G18" s="7">
        <f t="shared" si="2"/>
        <v>588.04999999999995</v>
      </c>
      <c r="H18" s="7">
        <f t="shared" si="3"/>
        <v>135.25149999999999</v>
      </c>
      <c r="I18" s="7">
        <f t="shared" si="4"/>
        <v>1.5</v>
      </c>
      <c r="J18" s="7">
        <f t="shared" si="5"/>
        <v>724.80149999999992</v>
      </c>
    </row>
    <row r="19" spans="1:10">
      <c r="A19" s="5" t="s">
        <v>330</v>
      </c>
      <c r="B19" s="5" t="s">
        <v>171</v>
      </c>
      <c r="C19" s="5">
        <v>2</v>
      </c>
      <c r="D19" s="12">
        <v>84.5</v>
      </c>
      <c r="E19" s="7">
        <f t="shared" si="0"/>
        <v>169</v>
      </c>
      <c r="F19" s="7">
        <f t="shared" si="1"/>
        <v>8.4500000000000011</v>
      </c>
      <c r="G19" s="7">
        <f t="shared" si="2"/>
        <v>160.55000000000001</v>
      </c>
      <c r="H19" s="7">
        <f t="shared" si="3"/>
        <v>36.926500000000004</v>
      </c>
      <c r="I19" s="7">
        <f t="shared" si="4"/>
        <v>1.5</v>
      </c>
      <c r="J19" s="7">
        <f t="shared" si="5"/>
        <v>198.97650000000002</v>
      </c>
    </row>
    <row r="20" spans="1:10">
      <c r="A20" s="5" t="s">
        <v>331</v>
      </c>
      <c r="B20" s="5" t="s">
        <v>153</v>
      </c>
      <c r="C20" s="5">
        <v>4</v>
      </c>
      <c r="D20" s="12">
        <v>99.9</v>
      </c>
      <c r="E20" s="7">
        <f t="shared" si="0"/>
        <v>399.6</v>
      </c>
      <c r="F20" s="7">
        <f t="shared" si="1"/>
        <v>19.980000000000004</v>
      </c>
      <c r="G20" s="7">
        <f t="shared" si="2"/>
        <v>379.62</v>
      </c>
      <c r="H20" s="7">
        <f t="shared" si="3"/>
        <v>87.312600000000003</v>
      </c>
      <c r="I20" s="7">
        <f t="shared" si="4"/>
        <v>1.5</v>
      </c>
      <c r="J20" s="7">
        <f t="shared" si="5"/>
        <v>468.43259999999998</v>
      </c>
    </row>
    <row r="21" spans="1:10">
      <c r="A21" s="5" t="s">
        <v>332</v>
      </c>
      <c r="B21" s="5" t="s">
        <v>333</v>
      </c>
      <c r="C21" s="5">
        <v>2</v>
      </c>
      <c r="D21" s="12">
        <v>149.5</v>
      </c>
      <c r="E21" s="7">
        <f t="shared" si="0"/>
        <v>299</v>
      </c>
      <c r="F21" s="7">
        <f t="shared" si="1"/>
        <v>14.950000000000001</v>
      </c>
      <c r="G21" s="7">
        <f t="shared" si="2"/>
        <v>284.05</v>
      </c>
      <c r="H21" s="7">
        <f t="shared" si="3"/>
        <v>65.331500000000005</v>
      </c>
      <c r="I21" s="7">
        <f t="shared" si="4"/>
        <v>1.5</v>
      </c>
      <c r="J21" s="7">
        <f t="shared" si="5"/>
        <v>350.88150000000002</v>
      </c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24" t="s">
        <v>334</v>
      </c>
      <c r="B23" s="24" t="s">
        <v>317</v>
      </c>
      <c r="C23" s="24">
        <v>0</v>
      </c>
      <c r="D23" s="24">
        <v>0.05</v>
      </c>
      <c r="E23" s="24">
        <v>0.1</v>
      </c>
      <c r="F23" s="24">
        <v>0.15</v>
      </c>
      <c r="G23" s="24">
        <v>0.2</v>
      </c>
      <c r="H23" s="3"/>
      <c r="I23" s="3"/>
      <c r="J23" s="3"/>
    </row>
    <row r="24" spans="1:10">
      <c r="A24" s="25" t="s">
        <v>335</v>
      </c>
      <c r="B24" s="7">
        <f>$G$10+$G$11+$G$12+$G$13+$G$14+$G$15+$G$16+$G$17+$G$18+$G$19+$G$20+$G$21</f>
        <v>7356.42</v>
      </c>
      <c r="C24" s="7">
        <f>$B24*(1-C$23)</f>
        <v>7356.42</v>
      </c>
      <c r="D24" s="7">
        <f>$B24*(1-D$23)</f>
        <v>6988.5990000000002</v>
      </c>
      <c r="E24" s="7">
        <f>$B24*(1-E$23)</f>
        <v>6620.7780000000002</v>
      </c>
      <c r="F24" s="7">
        <f>$B24*(1-F$23)</f>
        <v>6252.9570000000003</v>
      </c>
      <c r="G24" s="7">
        <f>$B24*(1-G$23)</f>
        <v>5885.1360000000004</v>
      </c>
      <c r="H24" s="3"/>
      <c r="I24" s="3"/>
      <c r="J24" s="3"/>
    </row>
    <row r="25" spans="1:10">
      <c r="A25" s="25" t="s">
        <v>137</v>
      </c>
      <c r="B25" s="7">
        <f t="shared" ref="B25:G25" si="6">B24*$B$5</f>
        <v>1691.9766000000002</v>
      </c>
      <c r="C25" s="7">
        <f t="shared" si="6"/>
        <v>1691.9766000000002</v>
      </c>
      <c r="D25" s="7">
        <f t="shared" si="6"/>
        <v>1607.3777700000001</v>
      </c>
      <c r="E25" s="7">
        <f t="shared" si="6"/>
        <v>1522.7789400000001</v>
      </c>
      <c r="F25" s="7">
        <f t="shared" si="6"/>
        <v>1438.1801100000002</v>
      </c>
      <c r="G25" s="7">
        <f t="shared" si="6"/>
        <v>1353.5812800000001</v>
      </c>
      <c r="H25" s="3"/>
      <c r="I25" s="3"/>
      <c r="J25" s="3"/>
    </row>
    <row r="26" spans="1:10">
      <c r="A26" s="25" t="s">
        <v>336</v>
      </c>
      <c r="B26" s="7">
        <f t="shared" ref="B26:G26" si="7">$B$7</f>
        <v>18</v>
      </c>
      <c r="C26" s="7">
        <f t="shared" si="7"/>
        <v>18</v>
      </c>
      <c r="D26" s="7">
        <f t="shared" si="7"/>
        <v>18</v>
      </c>
      <c r="E26" s="7">
        <f t="shared" si="7"/>
        <v>18</v>
      </c>
      <c r="F26" s="7">
        <f t="shared" si="7"/>
        <v>18</v>
      </c>
      <c r="G26" s="7">
        <f t="shared" si="7"/>
        <v>18</v>
      </c>
      <c r="H26" s="3"/>
      <c r="I26" s="3"/>
      <c r="J26" s="3"/>
    </row>
    <row r="27" spans="1:10">
      <c r="A27" s="25" t="s">
        <v>139</v>
      </c>
      <c r="B27" s="7">
        <f t="shared" ref="B27:G27" si="8">B24+B25+B26</f>
        <v>9066.3966</v>
      </c>
      <c r="C27" s="7">
        <f t="shared" si="8"/>
        <v>9066.3966</v>
      </c>
      <c r="D27" s="7">
        <f t="shared" si="8"/>
        <v>8613.9767700000011</v>
      </c>
      <c r="E27" s="7">
        <f t="shared" si="8"/>
        <v>8161.5569400000004</v>
      </c>
      <c r="F27" s="7">
        <f t="shared" si="8"/>
        <v>7709.1371100000006</v>
      </c>
      <c r="G27" s="7">
        <f t="shared" si="8"/>
        <v>7256.7172800000008</v>
      </c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6" t="s">
        <v>337</v>
      </c>
      <c r="B29" s="36"/>
      <c r="C29" s="36"/>
      <c r="D29" s="36"/>
      <c r="E29" s="36"/>
      <c r="F29" s="36"/>
      <c r="G29" s="36"/>
      <c r="H29" s="36"/>
      <c r="I29" s="36"/>
      <c r="J29" s="36"/>
    </row>
    <row r="30" spans="1:10">
      <c r="A30" s="36"/>
      <c r="B30" s="36"/>
      <c r="C30" s="36"/>
      <c r="D30" s="36"/>
      <c r="E30" s="36"/>
      <c r="F30" s="36"/>
      <c r="G30" s="36"/>
      <c r="H30" s="36"/>
      <c r="I30" s="36"/>
      <c r="J30" s="36"/>
    </row>
    <row r="31" spans="1:10">
      <c r="A31" s="36"/>
      <c r="B31" s="36"/>
      <c r="C31" s="36"/>
      <c r="D31" s="36"/>
      <c r="E31" s="36"/>
      <c r="F31" s="36"/>
      <c r="G31" s="36"/>
      <c r="H31" s="36"/>
      <c r="I31" s="36"/>
      <c r="J31" s="36"/>
    </row>
  </sheetData>
  <mergeCells count="4">
    <mergeCell ref="A1:J1"/>
    <mergeCell ref="A2:J2"/>
    <mergeCell ref="D4:J7"/>
    <mergeCell ref="A29:J31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3"/>
  <sheetViews>
    <sheetView showGridLines="0" workbookViewId="0">
      <selection activeCell="D17" sqref="D17"/>
    </sheetView>
  </sheetViews>
  <sheetFormatPr defaultColWidth="8.7109375" defaultRowHeight="15"/>
  <cols>
    <col min="1" max="1" width="14" customWidth="1"/>
    <col min="2" max="2" width="56" customWidth="1"/>
    <col min="3" max="3" width="13" customWidth="1"/>
    <col min="4" max="4" width="53.140625" bestFit="1" customWidth="1"/>
    <col min="5" max="5" width="34" customWidth="1"/>
    <col min="6" max="6" width="50" customWidth="1"/>
  </cols>
  <sheetData>
    <row r="1" spans="1:6" ht="20.25">
      <c r="A1" s="30" t="s">
        <v>338</v>
      </c>
      <c r="B1" s="30"/>
      <c r="C1" s="30"/>
      <c r="D1" s="30"/>
      <c r="E1" s="30"/>
      <c r="F1" s="30"/>
    </row>
    <row r="2" spans="1:6">
      <c r="A2" s="31" t="s">
        <v>339</v>
      </c>
      <c r="B2" s="31"/>
      <c r="C2" s="31"/>
      <c r="D2" s="31"/>
      <c r="E2" s="31"/>
      <c r="F2" s="31"/>
    </row>
    <row r="3" spans="1:6">
      <c r="A3" s="3"/>
      <c r="B3" s="3"/>
      <c r="C3" s="3"/>
      <c r="D3" s="3"/>
      <c r="E3" s="3"/>
      <c r="F3" s="3"/>
    </row>
    <row r="4" spans="1:6">
      <c r="A4" s="2" t="s">
        <v>4</v>
      </c>
      <c r="B4" s="2" t="s">
        <v>340</v>
      </c>
      <c r="C4" s="2" t="s">
        <v>341</v>
      </c>
      <c r="D4" s="2" t="s">
        <v>342</v>
      </c>
      <c r="E4" s="2" t="s">
        <v>343</v>
      </c>
      <c r="F4" s="2" t="s">
        <v>344</v>
      </c>
    </row>
    <row r="5" spans="1:6" s="29" customFormat="1" ht="24.75" customHeight="1">
      <c r="A5" s="5" t="s">
        <v>345</v>
      </c>
      <c r="B5" s="5" t="s">
        <v>346</v>
      </c>
      <c r="C5" s="26" t="s">
        <v>35</v>
      </c>
      <c r="D5" s="27" t="s">
        <v>366</v>
      </c>
      <c r="E5" s="27"/>
      <c r="F5" s="27" t="s">
        <v>367</v>
      </c>
    </row>
    <row r="6" spans="1:6" s="29" customFormat="1" ht="24.75" customHeight="1">
      <c r="A6" s="5" t="s">
        <v>345</v>
      </c>
      <c r="B6" s="5" t="s">
        <v>347</v>
      </c>
      <c r="C6" s="26" t="s">
        <v>35</v>
      </c>
      <c r="D6" s="27" t="s">
        <v>368</v>
      </c>
      <c r="E6" s="27"/>
      <c r="F6" s="27" t="s">
        <v>369</v>
      </c>
    </row>
    <row r="7" spans="1:6" s="29" customFormat="1" ht="24.75" customHeight="1">
      <c r="A7" s="5" t="s">
        <v>345</v>
      </c>
      <c r="B7" s="5" t="s">
        <v>348</v>
      </c>
      <c r="C7" s="26" t="s">
        <v>35</v>
      </c>
      <c r="D7" s="27" t="s">
        <v>370</v>
      </c>
      <c r="E7" s="27"/>
      <c r="F7" s="27" t="s">
        <v>371</v>
      </c>
    </row>
    <row r="8" spans="1:6" s="29" customFormat="1" ht="24.75" customHeight="1">
      <c r="A8" s="5" t="s">
        <v>345</v>
      </c>
      <c r="B8" s="5" t="s">
        <v>349</v>
      </c>
      <c r="C8" s="26" t="s">
        <v>35</v>
      </c>
      <c r="D8" s="27" t="s">
        <v>372</v>
      </c>
      <c r="E8" s="27"/>
      <c r="F8" s="27" t="s">
        <v>373</v>
      </c>
    </row>
    <row r="9" spans="1:6" s="29" customFormat="1" ht="24.75" customHeight="1">
      <c r="A9" s="5" t="s">
        <v>350</v>
      </c>
      <c r="B9" s="5" t="s">
        <v>351</v>
      </c>
      <c r="C9" s="26" t="s">
        <v>35</v>
      </c>
      <c r="D9" s="27" t="s">
        <v>374</v>
      </c>
      <c r="E9" s="27"/>
      <c r="F9" s="27" t="s">
        <v>375</v>
      </c>
    </row>
    <row r="10" spans="1:6" s="29" customFormat="1" ht="24.75" customHeight="1">
      <c r="A10" s="5" t="s">
        <v>350</v>
      </c>
      <c r="B10" s="5" t="s">
        <v>352</v>
      </c>
      <c r="C10" s="26" t="s">
        <v>35</v>
      </c>
      <c r="D10" s="27" t="s">
        <v>376</v>
      </c>
      <c r="E10" s="27"/>
      <c r="F10" s="27" t="s">
        <v>377</v>
      </c>
    </row>
    <row r="11" spans="1:6" s="29" customFormat="1" ht="24.75" customHeight="1">
      <c r="A11" s="5" t="s">
        <v>350</v>
      </c>
      <c r="B11" s="5" t="s">
        <v>353</v>
      </c>
      <c r="C11" s="26" t="s">
        <v>35</v>
      </c>
      <c r="D11" s="27" t="s">
        <v>378</v>
      </c>
      <c r="E11" s="27" t="s">
        <v>379</v>
      </c>
      <c r="F11" s="27" t="s">
        <v>380</v>
      </c>
    </row>
    <row r="12" spans="1:6" s="29" customFormat="1" ht="24.75" customHeight="1">
      <c r="A12" s="5" t="s">
        <v>350</v>
      </c>
      <c r="B12" s="5" t="s">
        <v>354</v>
      </c>
      <c r="C12" s="26" t="s">
        <v>35</v>
      </c>
      <c r="D12" s="27" t="s">
        <v>381</v>
      </c>
      <c r="E12" s="27"/>
      <c r="F12" s="27" t="s">
        <v>382</v>
      </c>
    </row>
    <row r="13" spans="1:6" s="29" customFormat="1" ht="24.75" customHeight="1">
      <c r="A13" s="5" t="s">
        <v>350</v>
      </c>
      <c r="B13" s="5" t="s">
        <v>355</v>
      </c>
      <c r="C13" s="26" t="s">
        <v>35</v>
      </c>
      <c r="D13" s="27" t="s">
        <v>383</v>
      </c>
      <c r="E13" s="27"/>
      <c r="F13" s="27" t="s">
        <v>384</v>
      </c>
    </row>
    <row r="14" spans="1:6" s="29" customFormat="1" ht="24.75" customHeight="1">
      <c r="A14" s="5" t="s">
        <v>350</v>
      </c>
      <c r="B14" s="5" t="s">
        <v>356</v>
      </c>
      <c r="C14" s="26" t="s">
        <v>35</v>
      </c>
      <c r="D14" s="27" t="s">
        <v>385</v>
      </c>
      <c r="E14" s="27"/>
      <c r="F14" s="27" t="s">
        <v>386</v>
      </c>
    </row>
    <row r="15" spans="1:6" s="29" customFormat="1" ht="24.75" customHeight="1">
      <c r="A15" s="5" t="s">
        <v>357</v>
      </c>
      <c r="B15" s="5" t="s">
        <v>358</v>
      </c>
      <c r="C15" s="26" t="s">
        <v>35</v>
      </c>
      <c r="D15" s="27" t="s">
        <v>387</v>
      </c>
      <c r="E15" s="27"/>
      <c r="F15" s="27" t="s">
        <v>388</v>
      </c>
    </row>
    <row r="16" spans="1:6" s="29" customFormat="1" ht="24.75" customHeight="1">
      <c r="A16" s="5" t="s">
        <v>357</v>
      </c>
      <c r="B16" s="5" t="s">
        <v>359</v>
      </c>
      <c r="C16" s="26" t="s">
        <v>35</v>
      </c>
      <c r="D16" s="27" t="s">
        <v>389</v>
      </c>
      <c r="E16" s="27"/>
      <c r="F16" s="27" t="s">
        <v>390</v>
      </c>
    </row>
    <row r="17" spans="1:6" s="29" customFormat="1" ht="24.75" customHeight="1">
      <c r="A17" s="5" t="s">
        <v>360</v>
      </c>
      <c r="B17" s="5" t="s">
        <v>361</v>
      </c>
      <c r="C17" s="26" t="s">
        <v>35</v>
      </c>
      <c r="D17" s="27" t="s">
        <v>391</v>
      </c>
      <c r="E17" s="27"/>
      <c r="F17" s="27" t="s">
        <v>392</v>
      </c>
    </row>
    <row r="18" spans="1:6" s="29" customFormat="1" ht="24.75" customHeight="1">
      <c r="A18" s="5" t="s">
        <v>360</v>
      </c>
      <c r="B18" s="5" t="s">
        <v>362</v>
      </c>
      <c r="C18" s="26" t="s">
        <v>35</v>
      </c>
      <c r="D18" s="27" t="s">
        <v>393</v>
      </c>
      <c r="E18" s="27"/>
      <c r="F18" s="27" t="s">
        <v>394</v>
      </c>
    </row>
    <row r="19" spans="1:6">
      <c r="A19" s="3"/>
      <c r="B19" s="3"/>
      <c r="C19" s="3"/>
      <c r="D19" s="3"/>
      <c r="E19" s="3"/>
      <c r="F19" s="3"/>
    </row>
    <row r="20" spans="1:6">
      <c r="A20" s="32" t="s">
        <v>363</v>
      </c>
      <c r="B20" s="32"/>
      <c r="C20" s="32"/>
      <c r="D20" s="32"/>
      <c r="E20" s="32"/>
      <c r="F20" s="32"/>
    </row>
    <row r="21" spans="1:6">
      <c r="A21" s="32"/>
      <c r="B21" s="32"/>
      <c r="C21" s="32"/>
      <c r="D21" s="32"/>
      <c r="E21" s="32"/>
      <c r="F21" s="32"/>
    </row>
    <row r="22" spans="1:6">
      <c r="A22" s="32"/>
      <c r="B22" s="32"/>
      <c r="C22" s="32"/>
      <c r="D22" s="32"/>
      <c r="E22" s="32"/>
      <c r="F22" s="32"/>
    </row>
    <row r="23" spans="1:6">
      <c r="A23" s="32"/>
      <c r="B23" s="32"/>
      <c r="C23" s="32"/>
      <c r="D23" s="32"/>
      <c r="E23" s="32"/>
      <c r="F23" s="32"/>
    </row>
  </sheetData>
  <mergeCells count="3">
    <mergeCell ref="A1:F1"/>
    <mergeCell ref="A2:F2"/>
    <mergeCell ref="A20:F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8</vt:i4>
      </vt:variant>
    </vt:vector>
  </HeadingPairs>
  <TitlesOfParts>
    <vt:vector size="8" baseType="lpstr">
      <vt:lpstr>INSTRUÇÕES</vt:lpstr>
      <vt:lpstr>CÁLCULOS</vt:lpstr>
      <vt:lpstr>ENCOMENDAS</vt:lpstr>
      <vt:lpstr>TAXAS FIXAS</vt:lpstr>
      <vt:lpstr>MATRIZ MISTA</vt:lpstr>
      <vt:lpstr>AUDITORIA</vt:lpstr>
      <vt:lpstr>DESAFIO</vt:lpstr>
      <vt:lpstr>VERIFICAÇÃO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Cerejo Lopes</cp:lastModifiedBy>
  <dcterms:modified xsi:type="dcterms:W3CDTF">2026-09-02T18:42:53Z</dcterms:modified>
</cp:coreProperties>
</file>