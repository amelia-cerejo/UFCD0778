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BASE" sheetId="2" state="visible" r:id="rId4"/>
    <sheet name="CÁLCULOS" sheetId="3" state="visible" r:id="rId5"/>
    <sheet name="ESTATÍSTICA" sheetId="4" state="visible" r:id="rId6"/>
    <sheet name="ANÁLISE" sheetId="5" state="visible" r:id="rId7"/>
    <sheet name="VERIFICAÇÃ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<sst xmlns="http://schemas.openxmlformats.org/spreadsheetml/2006/main" count="496" uniqueCount="180">
  <si>
    <t xml:space="preserve">PROJETO FINAL — ORGANIZAÇÃO DE EVENTOS</t>
  </si>
  <si>
    <t xml:space="preserve">UFCD 0778 · Folha de cálculo · Projeto alternativo</t>
  </si>
  <si>
    <t xml:space="preserve">A empresa EventPro organiza eventos para empresas e particulares em todo o país. A direção precisa de analisar as receitas por tipo de evento, serviço e região. Transforma este ficheiro numa ferramenta de análise profissional.</t>
  </si>
  <si>
    <t xml:space="preserve">Etapa</t>
  </si>
  <si>
    <t xml:space="preserve">Trabalho</t>
  </si>
  <si>
    <t xml:space="preserve">Folha</t>
  </si>
  <si>
    <t xml:space="preserve">1</t>
  </si>
  <si>
    <t xml:space="preserve">Completar a coluna Receita com uma fórmula copiável. Confirmar tipos de dados e converter em tabela tbEventos.</t>
  </si>
  <si>
    <t xml:space="preserve">BASE</t>
  </si>
  <si>
    <t xml:space="preserve">2</t>
  </si>
  <si>
    <t xml:space="preserve">Construir os indicadores com SOMA, MÉDIA, MÁXIMO, MÍNIMO e CONTAR.</t>
  </si>
  <si>
    <t xml:space="preserve">CÁLCULOS</t>
  </si>
  <si>
    <t xml:space="preserve">3</t>
  </si>
  <si>
    <t xml:space="preserve">Analisar as receitas por tipo de evento, serviço e região com SOMA.SE, MÉDIA.SE e CONTAR.SE.</t>
  </si>
  <si>
    <t xml:space="preserve">ESTATÍSTICA</t>
  </si>
  <si>
    <t xml:space="preserve">4</t>
  </si>
  <si>
    <t xml:space="preserve">Criar uma tabela dinâmica e um gráfico que respondam a uma questão concreta.</t>
  </si>
  <si>
    <t xml:space="preserve">ANÁLISE</t>
  </si>
  <si>
    <t xml:space="preserve">5</t>
  </si>
  <si>
    <t xml:space="preserve">Verificar o trabalho e confirmar que não existem erros.</t>
  </si>
  <si>
    <t xml:space="preserve">VERIFICAÇÃO</t>
  </si>
  <si>
    <t xml:space="preserve">Código de cores: amarelo = área a preencher  |  azul = orientação  |  verde = títulos</t>
  </si>
  <si>
    <t xml:space="preserve">BASE DE EVENTOS — 2026</t>
  </si>
  <si>
    <t xml:space="preserve">72 eventos · Complete a coluna Receita com uma fórmula e converta em tabela tbEventos</t>
  </si>
  <si>
    <t xml:space="preserve">ID</t>
  </si>
  <si>
    <t xml:space="preserve">Data</t>
  </si>
  <si>
    <t xml:space="preserve">Tipo de evento</t>
  </si>
  <si>
    <t xml:space="preserve">Serviço</t>
  </si>
  <si>
    <t xml:space="preserve">Quantidade</t>
  </si>
  <si>
    <t xml:space="preserve">Preço unitário</t>
  </si>
  <si>
    <t xml:space="preserve">Receita</t>
  </si>
  <si>
    <t xml:space="preserve">Região</t>
  </si>
  <si>
    <t xml:space="preserve">Estado</t>
  </si>
  <si>
    <t xml:space="preserve">EV001</t>
  </si>
  <si>
    <t xml:space="preserve">Conferência</t>
  </si>
  <si>
    <t xml:space="preserve">Catering</t>
  </si>
  <si>
    <t xml:space="preserve">Norte</t>
  </si>
  <si>
    <t xml:space="preserve">Realizado</t>
  </si>
  <si>
    <t xml:space="preserve">EV002</t>
  </si>
  <si>
    <t xml:space="preserve">Formação</t>
  </si>
  <si>
    <t xml:space="preserve">Audiovisual</t>
  </si>
  <si>
    <t xml:space="preserve">Lisboa</t>
  </si>
  <si>
    <t xml:space="preserve">EV003</t>
  </si>
  <si>
    <t xml:space="preserve">Festa</t>
  </si>
  <si>
    <t xml:space="preserve">Decoração</t>
  </si>
  <si>
    <t xml:space="preserve">Centro</t>
  </si>
  <si>
    <t xml:space="preserve">EV004</t>
  </si>
  <si>
    <t xml:space="preserve">Reunião</t>
  </si>
  <si>
    <t xml:space="preserve">Logística</t>
  </si>
  <si>
    <t xml:space="preserve">Alentejo</t>
  </si>
  <si>
    <t xml:space="preserve">Pendente</t>
  </si>
  <si>
    <t xml:space="preserve">EV005</t>
  </si>
  <si>
    <t xml:space="preserve">Lançamento</t>
  </si>
  <si>
    <t xml:space="preserve">Animação</t>
  </si>
  <si>
    <t xml:space="preserve">Algarve</t>
  </si>
  <si>
    <t xml:space="preserve">Cancelado</t>
  </si>
  <si>
    <t xml:space="preserve">EV006</t>
  </si>
  <si>
    <t xml:space="preserve">EV007</t>
  </si>
  <si>
    <t xml:space="preserve">EV008</t>
  </si>
  <si>
    <t xml:space="preserve">EV009</t>
  </si>
  <si>
    <t xml:space="preserve">EV010</t>
  </si>
  <si>
    <t xml:space="preserve">EV011</t>
  </si>
  <si>
    <t xml:space="preserve">EV012</t>
  </si>
  <si>
    <t xml:space="preserve">EV013</t>
  </si>
  <si>
    <t xml:space="preserve">EV014</t>
  </si>
  <si>
    <t xml:space="preserve">EV015</t>
  </si>
  <si>
    <t xml:space="preserve">EV016</t>
  </si>
  <si>
    <t xml:space="preserve">EV017</t>
  </si>
  <si>
    <t xml:space="preserve">EV018</t>
  </si>
  <si>
    <t xml:space="preserve">EV019</t>
  </si>
  <si>
    <t xml:space="preserve">EV020</t>
  </si>
  <si>
    <t xml:space="preserve">EV021</t>
  </si>
  <si>
    <t xml:space="preserve">EV022</t>
  </si>
  <si>
    <t xml:space="preserve">EV023</t>
  </si>
  <si>
    <t xml:space="preserve">EV024</t>
  </si>
  <si>
    <t xml:space="preserve">EV025</t>
  </si>
  <si>
    <t xml:space="preserve">EV026</t>
  </si>
  <si>
    <t xml:space="preserve">EV027</t>
  </si>
  <si>
    <t xml:space="preserve">EV028</t>
  </si>
  <si>
    <t xml:space="preserve">EV029</t>
  </si>
  <si>
    <t xml:space="preserve">EV030</t>
  </si>
  <si>
    <t xml:space="preserve">EV031</t>
  </si>
  <si>
    <t xml:space="preserve">EV032</t>
  </si>
  <si>
    <t xml:space="preserve">EV033</t>
  </si>
  <si>
    <t xml:space="preserve">EV034</t>
  </si>
  <si>
    <t xml:space="preserve">EV035</t>
  </si>
  <si>
    <t xml:space="preserve">EV036</t>
  </si>
  <si>
    <t xml:space="preserve">EV037</t>
  </si>
  <si>
    <t xml:space="preserve">EV038</t>
  </si>
  <si>
    <t xml:space="preserve">EV039</t>
  </si>
  <si>
    <t xml:space="preserve">EV040</t>
  </si>
  <si>
    <t xml:space="preserve">EV041</t>
  </si>
  <si>
    <t xml:space="preserve">EV042</t>
  </si>
  <si>
    <t xml:space="preserve">EV043</t>
  </si>
  <si>
    <t xml:space="preserve">EV044</t>
  </si>
  <si>
    <t xml:space="preserve">EV045</t>
  </si>
  <si>
    <t xml:space="preserve">EV046</t>
  </si>
  <si>
    <t xml:space="preserve">EV047</t>
  </si>
  <si>
    <t xml:space="preserve">EV048</t>
  </si>
  <si>
    <t xml:space="preserve">EV049</t>
  </si>
  <si>
    <t xml:space="preserve">EV050</t>
  </si>
  <si>
    <t xml:space="preserve">EV051</t>
  </si>
  <si>
    <t xml:space="preserve">EV052</t>
  </si>
  <si>
    <t xml:space="preserve">EV053</t>
  </si>
  <si>
    <t xml:space="preserve">EV054</t>
  </si>
  <si>
    <t xml:space="preserve">EV055</t>
  </si>
  <si>
    <t xml:space="preserve">EV056</t>
  </si>
  <si>
    <t xml:space="preserve">EV057</t>
  </si>
  <si>
    <t xml:space="preserve">EV058</t>
  </si>
  <si>
    <t xml:space="preserve">EV059</t>
  </si>
  <si>
    <t xml:space="preserve">EV060</t>
  </si>
  <si>
    <t xml:space="preserve">EV061</t>
  </si>
  <si>
    <t xml:space="preserve">EV062</t>
  </si>
  <si>
    <t xml:space="preserve">EV063</t>
  </si>
  <si>
    <t xml:space="preserve">EV064</t>
  </si>
  <si>
    <t xml:space="preserve">EV065</t>
  </si>
  <si>
    <t xml:space="preserve">EV066</t>
  </si>
  <si>
    <t xml:space="preserve">EV067</t>
  </si>
  <si>
    <t xml:space="preserve">EV068</t>
  </si>
  <si>
    <t xml:space="preserve">EV069</t>
  </si>
  <si>
    <t xml:space="preserve">EV070</t>
  </si>
  <si>
    <t xml:space="preserve">EV071</t>
  </si>
  <si>
    <t xml:space="preserve">EV072</t>
  </si>
  <si>
    <t xml:space="preserve">CÁLCULOS E INDICADORES</t>
  </si>
  <si>
    <t xml:space="preserve">Constrói as fórmulas nas células amarelas. Usa funções ligadas à tabela tbEventos.</t>
  </si>
  <si>
    <t xml:space="preserve">Indicador</t>
  </si>
  <si>
    <t xml:space="preserve">Função</t>
  </si>
  <si>
    <t xml:space="preserve">Intervalo</t>
  </si>
  <si>
    <t xml:space="preserve">Resultado</t>
  </si>
  <si>
    <t xml:space="preserve">Interpretação</t>
  </si>
  <si>
    <t xml:space="preserve">Receita total de todos os eventos</t>
  </si>
  <si>
    <t xml:space="preserve">SOMA</t>
  </si>
  <si>
    <t xml:space="preserve">Receita total de todos os eventos realizados</t>
  </si>
  <si>
    <t xml:space="preserve">Receita média por evento</t>
  </si>
  <si>
    <t xml:space="preserve">MÉDIA</t>
  </si>
  <si>
    <t xml:space="preserve">Evento de maior receita</t>
  </si>
  <si>
    <t xml:space="preserve">MÁXIMO</t>
  </si>
  <si>
    <t xml:space="preserve">Evento de menor receita</t>
  </si>
  <si>
    <t xml:space="preserve">MÍNIMO</t>
  </si>
  <si>
    <t xml:space="preserve">Número total de eventos</t>
  </si>
  <si>
    <t xml:space="preserve">CONTAR ou CONTARA</t>
  </si>
  <si>
    <t xml:space="preserve">Total de eventos registados</t>
  </si>
  <si>
    <t xml:space="preserve">Número de eventos realizados</t>
  </si>
  <si>
    <t xml:space="preserve">CONTAR.SE</t>
  </si>
  <si>
    <t xml:space="preserve">Estado = Realizado</t>
  </si>
  <si>
    <t xml:space="preserve">Eventos concluídos com sucesso</t>
  </si>
  <si>
    <t xml:space="preserve">Número de eventos pendentes</t>
  </si>
  <si>
    <t xml:space="preserve">Estado = Pendente</t>
  </si>
  <si>
    <t xml:space="preserve">Eventos ainda por realizar</t>
  </si>
  <si>
    <t xml:space="preserve">Número de eventos cancelados</t>
  </si>
  <si>
    <t xml:space="preserve">Estado = Cancelado</t>
  </si>
  <si>
    <t xml:space="preserve">Eventos cancelados — analisar causas</t>
  </si>
  <si>
    <t xml:space="preserve">ANÁLISE ESTATÍSTICA</t>
  </si>
  <si>
    <t xml:space="preserve">Usa SOMA.SE, MÉDIA.SE e CONTAR.SE para analisar as receitas por tipo de evento, serviço e região.</t>
  </si>
  <si>
    <t xml:space="preserve">Por Tipo de Evento</t>
  </si>
  <si>
    <t xml:space="preserve">Evento</t>
  </si>
  <si>
    <t xml:space="preserve">Por Serviço</t>
  </si>
  <si>
    <t xml:space="preserve">Por Região</t>
  </si>
  <si>
    <t xml:space="preserve">ANÁLISE DINÂMICA</t>
  </si>
  <si>
    <t xml:space="preserve">Cria uma tabela dinâmica a partir de tbEventos e um gráfico que responda a uma questão concreta.</t>
  </si>
  <si>
    <t xml:space="preserve">QUESTÃO 1 — Que tipo de evento gera maior receita total?</t>
  </si>
  <si>
    <t xml:space="preserve">→ Cria aqui a tabela dinâmica e o gráfico correspondente</t>
  </si>
  <si>
    <t xml:space="preserve">QUESTÃO 2 — Qual o serviço mais contratado por região?</t>
  </si>
  <si>
    <t xml:space="preserve">QUESTÃO 3 — Como evoluem as receitas ao longo dos meses?</t>
  </si>
  <si>
    <t xml:space="preserve">VERIFICAÇÃO FINAL</t>
  </si>
  <si>
    <t xml:space="preserve">Confirma cada ponto antes de entregar o ficheiro.</t>
  </si>
  <si>
    <t xml:space="preserve">Elemento</t>
  </si>
  <si>
    <t xml:space="preserve">Concluído?</t>
  </si>
  <si>
    <t xml:space="preserve">Observações</t>
  </si>
  <si>
    <t xml:space="preserve">A coluna Receita está preenchida com fórmula copiável</t>
  </si>
  <si>
    <t xml:space="preserve">✓</t>
  </si>
  <si>
    <t xml:space="preserve">O intervalo foi convertido na tabela tbEventos</t>
  </si>
  <si>
    <t xml:space="preserve">Os tipos de dados estão corretos (datas, números, texto)</t>
  </si>
  <si>
    <t xml:space="preserve">Os 8 indicadores estão calculados com as funções corretas</t>
  </si>
  <si>
    <t xml:space="preserve">As tabelas por tipo, serviço e região estão preenchidas</t>
  </si>
  <si>
    <t xml:space="preserve">A tabela dinâmica foi criada a partir de tbEventos</t>
  </si>
  <si>
    <t xml:space="preserve">O gráfico responde a uma questão concreta e tem título</t>
  </si>
  <si>
    <t xml:space="preserve">Não existem erros de fórmula no ficheiro</t>
  </si>
  <si>
    <t xml:space="preserve">Todas</t>
  </si>
  <si>
    <t xml:space="preserve">Os filtros estão limpos antes da entrega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</si>
</sst>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#,##0.00&quot; €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9C57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10"/>
      <color rgb="FF9C5700"/>
      <name val="Calibri"/>
      <family val="0"/>
      <charset val="1"/>
    </font>
    <font>
      <b val="true"/>
      <sz val="12"/>
      <color rgb="FF27622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1F8"/>
      </patternFill>
    </fill>
    <fill>
      <patternFill patternType="solid">
        <fgColor rgb="FFEBF1F8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EB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1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7" customFormat="false" ht="27.75" hidden="false" customHeight="true" outlineLevel="0" collapsed="false">
      <c r="A7" s="4" t="s">
        <v>3</v>
      </c>
      <c r="B7" s="4" t="s">
        <v>4</v>
      </c>
      <c r="C7" s="4" t="s">
        <v>5</v>
      </c>
    </row>
    <row r="8" customFormat="false" ht="27.75" hidden="false" customHeight="true" outlineLevel="0" collapsed="false">
      <c r="A8" s="5" t="s">
        <v>6</v>
      </c>
      <c r="B8" s="6" t="s">
        <v>7</v>
      </c>
      <c r="C8" s="5" t="s">
        <v>8</v>
      </c>
    </row>
    <row r="9" customFormat="false" ht="27.75" hidden="false" customHeight="true" outlineLevel="0" collapsed="false">
      <c r="A9" s="7" t="s">
        <v>9</v>
      </c>
      <c r="B9" s="8" t="s">
        <v>10</v>
      </c>
      <c r="C9" s="7" t="s">
        <v>11</v>
      </c>
    </row>
    <row r="10" customFormat="false" ht="27.75" hidden="false" customHeight="true" outlineLevel="0" collapsed="false">
      <c r="A10" s="5" t="s">
        <v>12</v>
      </c>
      <c r="B10" s="6" t="s">
        <v>13</v>
      </c>
      <c r="C10" s="5" t="s">
        <v>14</v>
      </c>
    </row>
    <row r="11" customFormat="false" ht="27.75" hidden="false" customHeight="true" outlineLevel="0" collapsed="false">
      <c r="A11" s="7" t="s">
        <v>15</v>
      </c>
      <c r="B11" s="8" t="s">
        <v>16</v>
      </c>
      <c r="C11" s="7" t="s">
        <v>17</v>
      </c>
    </row>
    <row r="12" customFormat="false" ht="27.75" hidden="false" customHeight="true" outlineLevel="0" collapsed="false">
      <c r="A12" s="5" t="s">
        <v>18</v>
      </c>
      <c r="B12" s="6" t="s">
        <v>19</v>
      </c>
      <c r="C12" s="5" t="s">
        <v>20</v>
      </c>
    </row>
    <row r="14" customFormat="false" ht="19.5" hidden="false" customHeight="true" outlineLevel="0" collapsed="false">
      <c r="A14" s="9" t="s">
        <v>21</v>
      </c>
      <c r="B14" s="9"/>
      <c r="C14" s="9"/>
      <c r="D14" s="9"/>
      <c r="E14" s="9"/>
      <c r="F14" s="9"/>
      <c r="G14" s="9"/>
      <c r="H14" s="9"/>
      <c r="I14" s="9"/>
    </row>
  </sheetData>
  <mergeCells count="4">
    <mergeCell ref="A1:I1"/>
    <mergeCell ref="A2:I2"/>
    <mergeCell ref="A4:I5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0" t="s">
        <v>22</v>
      </c>
      <c r="B1" s="10"/>
      <c r="C1" s="10"/>
      <c r="D1" s="10"/>
      <c r="E1" s="10"/>
      <c r="F1" s="10"/>
      <c r="G1" s="10"/>
      <c r="H1" s="10"/>
      <c r="I1" s="10"/>
    </row>
    <row r="2" customFormat="false" ht="18" hidden="false" customHeight="true" outlineLevel="0" collapsed="false">
      <c r="A2" s="11" t="s">
        <v>23</v>
      </c>
      <c r="B2" s="11"/>
      <c r="C2" s="11"/>
      <c r="D2" s="11"/>
      <c r="E2" s="11"/>
      <c r="F2" s="11"/>
      <c r="G2" s="11"/>
      <c r="H2" s="11"/>
      <c r="I2" s="11"/>
    </row>
    <row r="4" customFormat="false" ht="27.75" hidden="false" customHeight="true" outlineLevel="0" collapsed="false">
      <c r="A4" s="12" t="s">
        <v>24</v>
      </c>
      <c r="B4" s="12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</row>
    <row r="5" customFormat="false" ht="15.75" hidden="false" customHeight="true" outlineLevel="0" collapsed="false">
      <c r="A5" s="7" t="s">
        <v>33</v>
      </c>
      <c r="B5" s="13" t="n">
        <v>46023</v>
      </c>
      <c r="C5" s="14" t="s">
        <v>34</v>
      </c>
      <c r="D5" s="14" t="s">
        <v>35</v>
      </c>
      <c r="E5" s="15" t="n">
        <v>2</v>
      </c>
      <c r="F5" s="16" t="n">
        <v>45</v>
      </c>
      <c r="G5" s="17" t="n">
        <f aca="false">E5*F5</f>
        <v>90</v>
      </c>
      <c r="H5" s="7" t="s">
        <v>36</v>
      </c>
      <c r="I5" s="18" t="s">
        <v>37</v>
      </c>
    </row>
    <row r="6" customFormat="false" ht="15.75" hidden="false" customHeight="true" outlineLevel="0" collapsed="false">
      <c r="A6" s="5" t="s">
        <v>38</v>
      </c>
      <c r="B6" s="19" t="n">
        <v>46055</v>
      </c>
      <c r="C6" s="20" t="s">
        <v>39</v>
      </c>
      <c r="D6" s="20" t="s">
        <v>40</v>
      </c>
      <c r="E6" s="21" t="n">
        <v>4</v>
      </c>
      <c r="F6" s="22" t="n">
        <v>120</v>
      </c>
      <c r="G6" s="17" t="n">
        <f aca="false">E6*F6</f>
        <v>480</v>
      </c>
      <c r="H6" s="5" t="s">
        <v>41</v>
      </c>
      <c r="I6" s="18" t="s">
        <v>37</v>
      </c>
    </row>
    <row r="7" customFormat="false" ht="15.75" hidden="false" customHeight="true" outlineLevel="0" collapsed="false">
      <c r="A7" s="7" t="s">
        <v>42</v>
      </c>
      <c r="B7" s="13" t="n">
        <v>46084</v>
      </c>
      <c r="C7" s="14" t="s">
        <v>43</v>
      </c>
      <c r="D7" s="14" t="s">
        <v>44</v>
      </c>
      <c r="E7" s="15" t="n">
        <v>6</v>
      </c>
      <c r="F7" s="16" t="n">
        <v>85</v>
      </c>
      <c r="G7" s="17" t="n">
        <f aca="false">E7*F7</f>
        <v>510</v>
      </c>
      <c r="H7" s="7" t="s">
        <v>45</v>
      </c>
      <c r="I7" s="18" t="s">
        <v>37</v>
      </c>
    </row>
    <row r="8" customFormat="false" ht="15.75" hidden="false" customHeight="true" outlineLevel="0" collapsed="false">
      <c r="A8" s="5" t="s">
        <v>46</v>
      </c>
      <c r="B8" s="19" t="n">
        <v>46116</v>
      </c>
      <c r="C8" s="20" t="s">
        <v>47</v>
      </c>
      <c r="D8" s="20" t="s">
        <v>48</v>
      </c>
      <c r="E8" s="21" t="n">
        <v>8</v>
      </c>
      <c r="F8" s="22" t="n">
        <v>60</v>
      </c>
      <c r="G8" s="17" t="n">
        <f aca="false">E8*F8</f>
        <v>480</v>
      </c>
      <c r="H8" s="5" t="s">
        <v>49</v>
      </c>
      <c r="I8" s="23" t="s">
        <v>50</v>
      </c>
    </row>
    <row r="9" customFormat="false" ht="15.75" hidden="false" customHeight="true" outlineLevel="0" collapsed="false">
      <c r="A9" s="7" t="s">
        <v>51</v>
      </c>
      <c r="B9" s="13" t="n">
        <v>46147</v>
      </c>
      <c r="C9" s="14" t="s">
        <v>52</v>
      </c>
      <c r="D9" s="14" t="s">
        <v>53</v>
      </c>
      <c r="E9" s="15" t="n">
        <v>10</v>
      </c>
      <c r="F9" s="16" t="n">
        <v>95</v>
      </c>
      <c r="G9" s="17" t="n">
        <f aca="false">E9*F9</f>
        <v>950</v>
      </c>
      <c r="H9" s="7" t="s">
        <v>54</v>
      </c>
      <c r="I9" s="24" t="s">
        <v>55</v>
      </c>
    </row>
    <row r="10" customFormat="false" ht="15.75" hidden="false" customHeight="true" outlineLevel="0" collapsed="false">
      <c r="A10" s="5" t="s">
        <v>56</v>
      </c>
      <c r="B10" s="19" t="n">
        <v>46179</v>
      </c>
      <c r="C10" s="20" t="s">
        <v>34</v>
      </c>
      <c r="D10" s="20" t="s">
        <v>35</v>
      </c>
      <c r="E10" s="21" t="n">
        <v>12</v>
      </c>
      <c r="F10" s="22" t="n">
        <v>45</v>
      </c>
      <c r="G10" s="17" t="n">
        <f aca="false">E10*F10</f>
        <v>540</v>
      </c>
      <c r="H10" s="5" t="s">
        <v>36</v>
      </c>
      <c r="I10" s="18" t="s">
        <v>37</v>
      </c>
    </row>
    <row r="11" customFormat="false" ht="15.75" hidden="false" customHeight="true" outlineLevel="0" collapsed="false">
      <c r="A11" s="7" t="s">
        <v>57</v>
      </c>
      <c r="B11" s="13" t="n">
        <v>46029</v>
      </c>
      <c r="C11" s="14" t="s">
        <v>39</v>
      </c>
      <c r="D11" s="14" t="s">
        <v>40</v>
      </c>
      <c r="E11" s="15" t="n">
        <v>3</v>
      </c>
      <c r="F11" s="16" t="n">
        <v>120</v>
      </c>
      <c r="G11" s="17" t="n">
        <f aca="false">E11*F11</f>
        <v>360</v>
      </c>
      <c r="H11" s="7" t="s">
        <v>41</v>
      </c>
      <c r="I11" s="18" t="s">
        <v>37</v>
      </c>
    </row>
    <row r="12" customFormat="false" ht="15.75" hidden="false" customHeight="true" outlineLevel="0" collapsed="false">
      <c r="A12" s="5" t="s">
        <v>58</v>
      </c>
      <c r="B12" s="19" t="n">
        <v>46061</v>
      </c>
      <c r="C12" s="20" t="s">
        <v>43</v>
      </c>
      <c r="D12" s="20" t="s">
        <v>44</v>
      </c>
      <c r="E12" s="21" t="n">
        <v>5</v>
      </c>
      <c r="F12" s="22" t="n">
        <v>85</v>
      </c>
      <c r="G12" s="17" t="n">
        <f aca="false">E12*F12</f>
        <v>425</v>
      </c>
      <c r="H12" s="5" t="s">
        <v>45</v>
      </c>
      <c r="I12" s="18" t="s">
        <v>37</v>
      </c>
    </row>
    <row r="13" customFormat="false" ht="15.75" hidden="false" customHeight="true" outlineLevel="0" collapsed="false">
      <c r="A13" s="7" t="s">
        <v>59</v>
      </c>
      <c r="B13" s="13" t="n">
        <v>46090</v>
      </c>
      <c r="C13" s="14" t="s">
        <v>47</v>
      </c>
      <c r="D13" s="14" t="s">
        <v>48</v>
      </c>
      <c r="E13" s="15" t="n">
        <v>7</v>
      </c>
      <c r="F13" s="16" t="n">
        <v>60</v>
      </c>
      <c r="G13" s="17" t="n">
        <f aca="false">E13*F13</f>
        <v>420</v>
      </c>
      <c r="H13" s="7" t="s">
        <v>49</v>
      </c>
      <c r="I13" s="23" t="s">
        <v>50</v>
      </c>
    </row>
    <row r="14" customFormat="false" ht="15.75" hidden="false" customHeight="true" outlineLevel="0" collapsed="false">
      <c r="A14" s="5" t="s">
        <v>60</v>
      </c>
      <c r="B14" s="19" t="n">
        <v>46122</v>
      </c>
      <c r="C14" s="20" t="s">
        <v>52</v>
      </c>
      <c r="D14" s="20" t="s">
        <v>53</v>
      </c>
      <c r="E14" s="21" t="n">
        <v>9</v>
      </c>
      <c r="F14" s="22" t="n">
        <v>95</v>
      </c>
      <c r="G14" s="17" t="n">
        <f aca="false">E14*F14</f>
        <v>855</v>
      </c>
      <c r="H14" s="5" t="s">
        <v>54</v>
      </c>
      <c r="I14" s="24" t="s">
        <v>55</v>
      </c>
    </row>
    <row r="15" customFormat="false" ht="15.75" hidden="false" customHeight="true" outlineLevel="0" collapsed="false">
      <c r="A15" s="7" t="s">
        <v>61</v>
      </c>
      <c r="B15" s="13" t="n">
        <v>46153</v>
      </c>
      <c r="C15" s="14" t="s">
        <v>34</v>
      </c>
      <c r="D15" s="14" t="s">
        <v>35</v>
      </c>
      <c r="E15" s="15" t="n">
        <v>2</v>
      </c>
      <c r="F15" s="16" t="n">
        <v>45</v>
      </c>
      <c r="G15" s="17" t="n">
        <f aca="false">E15*F15</f>
        <v>90</v>
      </c>
      <c r="H15" s="7" t="s">
        <v>36</v>
      </c>
      <c r="I15" s="18" t="s">
        <v>37</v>
      </c>
    </row>
    <row r="16" customFormat="false" ht="15.75" hidden="false" customHeight="true" outlineLevel="0" collapsed="false">
      <c r="A16" s="5" t="s">
        <v>62</v>
      </c>
      <c r="B16" s="19" t="n">
        <v>46185</v>
      </c>
      <c r="C16" s="20" t="s">
        <v>39</v>
      </c>
      <c r="D16" s="20" t="s">
        <v>40</v>
      </c>
      <c r="E16" s="21" t="n">
        <v>4</v>
      </c>
      <c r="F16" s="22" t="n">
        <v>120</v>
      </c>
      <c r="G16" s="17" t="n">
        <f aca="false">E16*F16</f>
        <v>480</v>
      </c>
      <c r="H16" s="5" t="s">
        <v>41</v>
      </c>
      <c r="I16" s="18" t="s">
        <v>37</v>
      </c>
    </row>
    <row r="17" customFormat="false" ht="15.75" hidden="false" customHeight="true" outlineLevel="0" collapsed="false">
      <c r="A17" s="7" t="s">
        <v>63</v>
      </c>
      <c r="B17" s="13" t="n">
        <v>46035</v>
      </c>
      <c r="C17" s="14" t="s">
        <v>43</v>
      </c>
      <c r="D17" s="14" t="s">
        <v>44</v>
      </c>
      <c r="E17" s="15" t="n">
        <v>6</v>
      </c>
      <c r="F17" s="16" t="n">
        <v>85</v>
      </c>
      <c r="G17" s="17" t="n">
        <f aca="false">E17*F17</f>
        <v>510</v>
      </c>
      <c r="H17" s="7" t="s">
        <v>45</v>
      </c>
      <c r="I17" s="18" t="s">
        <v>37</v>
      </c>
    </row>
    <row r="18" customFormat="false" ht="15.75" hidden="false" customHeight="true" outlineLevel="0" collapsed="false">
      <c r="A18" s="5" t="s">
        <v>64</v>
      </c>
      <c r="B18" s="19" t="n">
        <v>46067</v>
      </c>
      <c r="C18" s="20" t="s">
        <v>47</v>
      </c>
      <c r="D18" s="20" t="s">
        <v>48</v>
      </c>
      <c r="E18" s="21" t="n">
        <v>8</v>
      </c>
      <c r="F18" s="22" t="n">
        <v>60</v>
      </c>
      <c r="G18" s="17" t="n">
        <f aca="false">E18*F18</f>
        <v>480</v>
      </c>
      <c r="H18" s="5" t="s">
        <v>49</v>
      </c>
      <c r="I18" s="23" t="s">
        <v>50</v>
      </c>
    </row>
    <row r="19" customFormat="false" ht="15.75" hidden="false" customHeight="true" outlineLevel="0" collapsed="false">
      <c r="A19" s="7" t="s">
        <v>65</v>
      </c>
      <c r="B19" s="13" t="n">
        <v>46096</v>
      </c>
      <c r="C19" s="14" t="s">
        <v>52</v>
      </c>
      <c r="D19" s="14" t="s">
        <v>53</v>
      </c>
      <c r="E19" s="15" t="n">
        <v>10</v>
      </c>
      <c r="F19" s="16" t="n">
        <v>95</v>
      </c>
      <c r="G19" s="17" t="n">
        <f aca="false">E19*F19</f>
        <v>950</v>
      </c>
      <c r="H19" s="7" t="s">
        <v>54</v>
      </c>
      <c r="I19" s="24" t="s">
        <v>55</v>
      </c>
    </row>
    <row r="20" customFormat="false" ht="15.75" hidden="false" customHeight="true" outlineLevel="0" collapsed="false">
      <c r="A20" s="5" t="s">
        <v>66</v>
      </c>
      <c r="B20" s="19" t="n">
        <v>46128</v>
      </c>
      <c r="C20" s="20" t="s">
        <v>34</v>
      </c>
      <c r="D20" s="20" t="s">
        <v>35</v>
      </c>
      <c r="E20" s="21" t="n">
        <v>12</v>
      </c>
      <c r="F20" s="22" t="n">
        <v>45</v>
      </c>
      <c r="G20" s="17" t="n">
        <f aca="false">E20*F20</f>
        <v>540</v>
      </c>
      <c r="H20" s="5" t="s">
        <v>36</v>
      </c>
      <c r="I20" s="18" t="s">
        <v>37</v>
      </c>
    </row>
    <row r="21" customFormat="false" ht="15.75" hidden="false" customHeight="true" outlineLevel="0" collapsed="false">
      <c r="A21" s="7" t="s">
        <v>67</v>
      </c>
      <c r="B21" s="13" t="n">
        <v>46159</v>
      </c>
      <c r="C21" s="14" t="s">
        <v>39</v>
      </c>
      <c r="D21" s="14" t="s">
        <v>40</v>
      </c>
      <c r="E21" s="15" t="n">
        <v>3</v>
      </c>
      <c r="F21" s="16" t="n">
        <v>120</v>
      </c>
      <c r="G21" s="17" t="n">
        <f aca="false">E21*F21</f>
        <v>360</v>
      </c>
      <c r="H21" s="7" t="s">
        <v>41</v>
      </c>
      <c r="I21" s="18" t="s">
        <v>37</v>
      </c>
    </row>
    <row r="22" customFormat="false" ht="15.75" hidden="false" customHeight="true" outlineLevel="0" collapsed="false">
      <c r="A22" s="5" t="s">
        <v>68</v>
      </c>
      <c r="B22" s="19" t="n">
        <v>46191</v>
      </c>
      <c r="C22" s="20" t="s">
        <v>43</v>
      </c>
      <c r="D22" s="20" t="s">
        <v>44</v>
      </c>
      <c r="E22" s="21" t="n">
        <v>5</v>
      </c>
      <c r="F22" s="22" t="n">
        <v>85</v>
      </c>
      <c r="G22" s="17" t="n">
        <f aca="false">E22*F22</f>
        <v>425</v>
      </c>
      <c r="H22" s="5" t="s">
        <v>45</v>
      </c>
      <c r="I22" s="18" t="s">
        <v>37</v>
      </c>
    </row>
    <row r="23" customFormat="false" ht="15.75" hidden="false" customHeight="true" outlineLevel="0" collapsed="false">
      <c r="A23" s="7" t="s">
        <v>69</v>
      </c>
      <c r="B23" s="13" t="n">
        <v>46041</v>
      </c>
      <c r="C23" s="14" t="s">
        <v>47</v>
      </c>
      <c r="D23" s="14" t="s">
        <v>48</v>
      </c>
      <c r="E23" s="15" t="n">
        <v>7</v>
      </c>
      <c r="F23" s="16" t="n">
        <v>60</v>
      </c>
      <c r="G23" s="17" t="n">
        <f aca="false">E23*F23</f>
        <v>420</v>
      </c>
      <c r="H23" s="7" t="s">
        <v>49</v>
      </c>
      <c r="I23" s="23" t="s">
        <v>50</v>
      </c>
    </row>
    <row r="24" customFormat="false" ht="15.75" hidden="false" customHeight="true" outlineLevel="0" collapsed="false">
      <c r="A24" s="5" t="s">
        <v>70</v>
      </c>
      <c r="B24" s="19" t="n">
        <v>46073</v>
      </c>
      <c r="C24" s="20" t="s">
        <v>52</v>
      </c>
      <c r="D24" s="20" t="s">
        <v>53</v>
      </c>
      <c r="E24" s="21" t="n">
        <v>9</v>
      </c>
      <c r="F24" s="22" t="n">
        <v>95</v>
      </c>
      <c r="G24" s="17" t="n">
        <f aca="false">E24*F24</f>
        <v>855</v>
      </c>
      <c r="H24" s="5" t="s">
        <v>54</v>
      </c>
      <c r="I24" s="24" t="s">
        <v>55</v>
      </c>
    </row>
    <row r="25" customFormat="false" ht="15.75" hidden="false" customHeight="true" outlineLevel="0" collapsed="false">
      <c r="A25" s="7" t="s">
        <v>71</v>
      </c>
      <c r="B25" s="13" t="n">
        <v>46102</v>
      </c>
      <c r="C25" s="14" t="s">
        <v>34</v>
      </c>
      <c r="D25" s="14" t="s">
        <v>35</v>
      </c>
      <c r="E25" s="15" t="n">
        <v>2</v>
      </c>
      <c r="F25" s="16" t="n">
        <v>45</v>
      </c>
      <c r="G25" s="17" t="n">
        <f aca="false">E25*F25</f>
        <v>90</v>
      </c>
      <c r="H25" s="7" t="s">
        <v>36</v>
      </c>
      <c r="I25" s="18" t="s">
        <v>37</v>
      </c>
    </row>
    <row r="26" customFormat="false" ht="15.75" hidden="false" customHeight="true" outlineLevel="0" collapsed="false">
      <c r="A26" s="5" t="s">
        <v>72</v>
      </c>
      <c r="B26" s="19" t="n">
        <v>46134</v>
      </c>
      <c r="C26" s="20" t="s">
        <v>39</v>
      </c>
      <c r="D26" s="20" t="s">
        <v>40</v>
      </c>
      <c r="E26" s="21" t="n">
        <v>4</v>
      </c>
      <c r="F26" s="22" t="n">
        <v>120</v>
      </c>
      <c r="G26" s="17" t="n">
        <f aca="false">E26*F26</f>
        <v>480</v>
      </c>
      <c r="H26" s="5" t="s">
        <v>41</v>
      </c>
      <c r="I26" s="18" t="s">
        <v>37</v>
      </c>
    </row>
    <row r="27" customFormat="false" ht="15.75" hidden="false" customHeight="true" outlineLevel="0" collapsed="false">
      <c r="A27" s="7" t="s">
        <v>73</v>
      </c>
      <c r="B27" s="13" t="n">
        <v>46165</v>
      </c>
      <c r="C27" s="14" t="s">
        <v>43</v>
      </c>
      <c r="D27" s="14" t="s">
        <v>44</v>
      </c>
      <c r="E27" s="15" t="n">
        <v>6</v>
      </c>
      <c r="F27" s="16" t="n">
        <v>85</v>
      </c>
      <c r="G27" s="17" t="n">
        <f aca="false">E27*F27</f>
        <v>510</v>
      </c>
      <c r="H27" s="7" t="s">
        <v>45</v>
      </c>
      <c r="I27" s="18" t="s">
        <v>37</v>
      </c>
    </row>
    <row r="28" customFormat="false" ht="15.75" hidden="false" customHeight="true" outlineLevel="0" collapsed="false">
      <c r="A28" s="5" t="s">
        <v>74</v>
      </c>
      <c r="B28" s="19" t="n">
        <v>46197</v>
      </c>
      <c r="C28" s="20" t="s">
        <v>47</v>
      </c>
      <c r="D28" s="20" t="s">
        <v>48</v>
      </c>
      <c r="E28" s="21" t="n">
        <v>8</v>
      </c>
      <c r="F28" s="22" t="n">
        <v>60</v>
      </c>
      <c r="G28" s="17" t="n">
        <f aca="false">E28*F28</f>
        <v>480</v>
      </c>
      <c r="H28" s="5" t="s">
        <v>49</v>
      </c>
      <c r="I28" s="23" t="s">
        <v>50</v>
      </c>
    </row>
    <row r="29" customFormat="false" ht="15.75" hidden="false" customHeight="true" outlineLevel="0" collapsed="false">
      <c r="A29" s="7" t="s">
        <v>75</v>
      </c>
      <c r="B29" s="13" t="n">
        <v>46047</v>
      </c>
      <c r="C29" s="14" t="s">
        <v>52</v>
      </c>
      <c r="D29" s="14" t="s">
        <v>53</v>
      </c>
      <c r="E29" s="15" t="n">
        <v>10</v>
      </c>
      <c r="F29" s="16" t="n">
        <v>95</v>
      </c>
      <c r="G29" s="17" t="n">
        <f aca="false">E29*F29</f>
        <v>950</v>
      </c>
      <c r="H29" s="7" t="s">
        <v>54</v>
      </c>
      <c r="I29" s="24" t="s">
        <v>55</v>
      </c>
    </row>
    <row r="30" customFormat="false" ht="15.75" hidden="false" customHeight="true" outlineLevel="0" collapsed="false">
      <c r="A30" s="5" t="s">
        <v>76</v>
      </c>
      <c r="B30" s="19" t="n">
        <v>46079</v>
      </c>
      <c r="C30" s="20" t="s">
        <v>34</v>
      </c>
      <c r="D30" s="20" t="s">
        <v>35</v>
      </c>
      <c r="E30" s="21" t="n">
        <v>12</v>
      </c>
      <c r="F30" s="22" t="n">
        <v>45</v>
      </c>
      <c r="G30" s="17" t="n">
        <f aca="false">E30*F30</f>
        <v>540</v>
      </c>
      <c r="H30" s="5" t="s">
        <v>36</v>
      </c>
      <c r="I30" s="18" t="s">
        <v>37</v>
      </c>
    </row>
    <row r="31" customFormat="false" ht="15.75" hidden="false" customHeight="true" outlineLevel="0" collapsed="false">
      <c r="A31" s="7" t="s">
        <v>77</v>
      </c>
      <c r="B31" s="13" t="n">
        <v>46108</v>
      </c>
      <c r="C31" s="14" t="s">
        <v>39</v>
      </c>
      <c r="D31" s="14" t="s">
        <v>40</v>
      </c>
      <c r="E31" s="15" t="n">
        <v>3</v>
      </c>
      <c r="F31" s="16" t="n">
        <v>120</v>
      </c>
      <c r="G31" s="17" t="n">
        <f aca="false">E31*F31</f>
        <v>360</v>
      </c>
      <c r="H31" s="7" t="s">
        <v>41</v>
      </c>
      <c r="I31" s="18" t="s">
        <v>37</v>
      </c>
    </row>
    <row r="32" customFormat="false" ht="15.75" hidden="false" customHeight="true" outlineLevel="0" collapsed="false">
      <c r="A32" s="5" t="s">
        <v>78</v>
      </c>
      <c r="B32" s="19" t="n">
        <v>46140</v>
      </c>
      <c r="C32" s="20" t="s">
        <v>43</v>
      </c>
      <c r="D32" s="20" t="s">
        <v>44</v>
      </c>
      <c r="E32" s="21" t="n">
        <v>5</v>
      </c>
      <c r="F32" s="22" t="n">
        <v>85</v>
      </c>
      <c r="G32" s="17" t="n">
        <f aca="false">E32*F32</f>
        <v>425</v>
      </c>
      <c r="H32" s="5" t="s">
        <v>45</v>
      </c>
      <c r="I32" s="18" t="s">
        <v>37</v>
      </c>
    </row>
    <row r="33" customFormat="false" ht="15.75" hidden="false" customHeight="true" outlineLevel="0" collapsed="false">
      <c r="A33" s="7" t="s">
        <v>79</v>
      </c>
      <c r="B33" s="13" t="n">
        <v>46143</v>
      </c>
      <c r="C33" s="14" t="s">
        <v>47</v>
      </c>
      <c r="D33" s="14" t="s">
        <v>48</v>
      </c>
      <c r="E33" s="15" t="n">
        <v>7</v>
      </c>
      <c r="F33" s="16" t="n">
        <v>60</v>
      </c>
      <c r="G33" s="17" t="n">
        <f aca="false">E33*F33</f>
        <v>420</v>
      </c>
      <c r="H33" s="7" t="s">
        <v>49</v>
      </c>
      <c r="I33" s="23" t="s">
        <v>50</v>
      </c>
    </row>
    <row r="34" customFormat="false" ht="15.75" hidden="false" customHeight="true" outlineLevel="0" collapsed="false">
      <c r="A34" s="5" t="s">
        <v>80</v>
      </c>
      <c r="B34" s="19" t="n">
        <v>46175</v>
      </c>
      <c r="C34" s="20" t="s">
        <v>52</v>
      </c>
      <c r="D34" s="20" t="s">
        <v>53</v>
      </c>
      <c r="E34" s="21" t="n">
        <v>9</v>
      </c>
      <c r="F34" s="22" t="n">
        <v>95</v>
      </c>
      <c r="G34" s="17" t="n">
        <f aca="false">E34*F34</f>
        <v>855</v>
      </c>
      <c r="H34" s="5" t="s">
        <v>54</v>
      </c>
      <c r="I34" s="24" t="s">
        <v>55</v>
      </c>
    </row>
    <row r="35" customFormat="false" ht="15.75" hidden="false" customHeight="true" outlineLevel="0" collapsed="false">
      <c r="A35" s="7" t="s">
        <v>81</v>
      </c>
      <c r="B35" s="13" t="n">
        <v>46025</v>
      </c>
      <c r="C35" s="14" t="s">
        <v>34</v>
      </c>
      <c r="D35" s="14" t="s">
        <v>35</v>
      </c>
      <c r="E35" s="15" t="n">
        <v>2</v>
      </c>
      <c r="F35" s="16" t="n">
        <v>45</v>
      </c>
      <c r="G35" s="17" t="n">
        <f aca="false">E35*F35</f>
        <v>90</v>
      </c>
      <c r="H35" s="7" t="s">
        <v>36</v>
      </c>
      <c r="I35" s="18" t="s">
        <v>37</v>
      </c>
    </row>
    <row r="36" customFormat="false" ht="15.75" hidden="false" customHeight="true" outlineLevel="0" collapsed="false">
      <c r="A36" s="5" t="s">
        <v>82</v>
      </c>
      <c r="B36" s="19" t="n">
        <v>46057</v>
      </c>
      <c r="C36" s="20" t="s">
        <v>39</v>
      </c>
      <c r="D36" s="20" t="s">
        <v>40</v>
      </c>
      <c r="E36" s="21" t="n">
        <v>4</v>
      </c>
      <c r="F36" s="22" t="n">
        <v>120</v>
      </c>
      <c r="G36" s="17" t="n">
        <f aca="false">E36*F36</f>
        <v>480</v>
      </c>
      <c r="H36" s="5" t="s">
        <v>41</v>
      </c>
      <c r="I36" s="18" t="s">
        <v>37</v>
      </c>
    </row>
    <row r="37" customFormat="false" ht="15.75" hidden="false" customHeight="true" outlineLevel="0" collapsed="false">
      <c r="A37" s="7" t="s">
        <v>83</v>
      </c>
      <c r="B37" s="13" t="n">
        <v>46086</v>
      </c>
      <c r="C37" s="14" t="s">
        <v>43</v>
      </c>
      <c r="D37" s="14" t="s">
        <v>44</v>
      </c>
      <c r="E37" s="15" t="n">
        <v>6</v>
      </c>
      <c r="F37" s="16" t="n">
        <v>85</v>
      </c>
      <c r="G37" s="17" t="n">
        <f aca="false">E37*F37</f>
        <v>510</v>
      </c>
      <c r="H37" s="7" t="s">
        <v>45</v>
      </c>
      <c r="I37" s="18" t="s">
        <v>37</v>
      </c>
    </row>
    <row r="38" customFormat="false" ht="15.75" hidden="false" customHeight="true" outlineLevel="0" collapsed="false">
      <c r="A38" s="5" t="s">
        <v>84</v>
      </c>
      <c r="B38" s="19" t="n">
        <v>46118</v>
      </c>
      <c r="C38" s="20" t="s">
        <v>47</v>
      </c>
      <c r="D38" s="20" t="s">
        <v>48</v>
      </c>
      <c r="E38" s="21" t="n">
        <v>8</v>
      </c>
      <c r="F38" s="22" t="n">
        <v>60</v>
      </c>
      <c r="G38" s="17" t="n">
        <f aca="false">E38*F38</f>
        <v>480</v>
      </c>
      <c r="H38" s="5" t="s">
        <v>49</v>
      </c>
      <c r="I38" s="23" t="s">
        <v>50</v>
      </c>
    </row>
    <row r="39" customFormat="false" ht="15.75" hidden="false" customHeight="true" outlineLevel="0" collapsed="false">
      <c r="A39" s="7" t="s">
        <v>85</v>
      </c>
      <c r="B39" s="13" t="n">
        <v>46149</v>
      </c>
      <c r="C39" s="14" t="s">
        <v>52</v>
      </c>
      <c r="D39" s="14" t="s">
        <v>53</v>
      </c>
      <c r="E39" s="15" t="n">
        <v>10</v>
      </c>
      <c r="F39" s="16" t="n">
        <v>95</v>
      </c>
      <c r="G39" s="17" t="n">
        <f aca="false">E39*F39</f>
        <v>950</v>
      </c>
      <c r="H39" s="7" t="s">
        <v>54</v>
      </c>
      <c r="I39" s="24" t="s">
        <v>55</v>
      </c>
    </row>
    <row r="40" customFormat="false" ht="15.75" hidden="false" customHeight="true" outlineLevel="0" collapsed="false">
      <c r="A40" s="5" t="s">
        <v>86</v>
      </c>
      <c r="B40" s="19" t="n">
        <v>46181</v>
      </c>
      <c r="C40" s="20" t="s">
        <v>34</v>
      </c>
      <c r="D40" s="20" t="s">
        <v>35</v>
      </c>
      <c r="E40" s="21" t="n">
        <v>12</v>
      </c>
      <c r="F40" s="22" t="n">
        <v>45</v>
      </c>
      <c r="G40" s="17" t="n">
        <f aca="false">E40*F40</f>
        <v>540</v>
      </c>
      <c r="H40" s="5" t="s">
        <v>36</v>
      </c>
      <c r="I40" s="18" t="s">
        <v>37</v>
      </c>
    </row>
    <row r="41" customFormat="false" ht="15.75" hidden="false" customHeight="true" outlineLevel="0" collapsed="false">
      <c r="A41" s="7" t="s">
        <v>87</v>
      </c>
      <c r="B41" s="13" t="n">
        <v>46031</v>
      </c>
      <c r="C41" s="14" t="s">
        <v>39</v>
      </c>
      <c r="D41" s="14" t="s">
        <v>40</v>
      </c>
      <c r="E41" s="15" t="n">
        <v>3</v>
      </c>
      <c r="F41" s="16" t="n">
        <v>120</v>
      </c>
      <c r="G41" s="17" t="n">
        <f aca="false">E41*F41</f>
        <v>360</v>
      </c>
      <c r="H41" s="7" t="s">
        <v>41</v>
      </c>
      <c r="I41" s="18" t="s">
        <v>37</v>
      </c>
    </row>
    <row r="42" customFormat="false" ht="15.75" hidden="false" customHeight="true" outlineLevel="0" collapsed="false">
      <c r="A42" s="5" t="s">
        <v>88</v>
      </c>
      <c r="B42" s="19" t="n">
        <v>46063</v>
      </c>
      <c r="C42" s="20" t="s">
        <v>43</v>
      </c>
      <c r="D42" s="20" t="s">
        <v>44</v>
      </c>
      <c r="E42" s="21" t="n">
        <v>5</v>
      </c>
      <c r="F42" s="22" t="n">
        <v>85</v>
      </c>
      <c r="G42" s="17" t="n">
        <f aca="false">E42*F42</f>
        <v>425</v>
      </c>
      <c r="H42" s="5" t="s">
        <v>45</v>
      </c>
      <c r="I42" s="18" t="s">
        <v>37</v>
      </c>
    </row>
    <row r="43" customFormat="false" ht="15.75" hidden="false" customHeight="true" outlineLevel="0" collapsed="false">
      <c r="A43" s="7" t="s">
        <v>89</v>
      </c>
      <c r="B43" s="13" t="n">
        <v>46092</v>
      </c>
      <c r="C43" s="14" t="s">
        <v>47</v>
      </c>
      <c r="D43" s="14" t="s">
        <v>48</v>
      </c>
      <c r="E43" s="15" t="n">
        <v>7</v>
      </c>
      <c r="F43" s="16" t="n">
        <v>60</v>
      </c>
      <c r="G43" s="17" t="n">
        <f aca="false">E43*F43</f>
        <v>420</v>
      </c>
      <c r="H43" s="7" t="s">
        <v>49</v>
      </c>
      <c r="I43" s="23" t="s">
        <v>50</v>
      </c>
    </row>
    <row r="44" customFormat="false" ht="15.75" hidden="false" customHeight="true" outlineLevel="0" collapsed="false">
      <c r="A44" s="5" t="s">
        <v>90</v>
      </c>
      <c r="B44" s="19" t="n">
        <v>46124</v>
      </c>
      <c r="C44" s="20" t="s">
        <v>52</v>
      </c>
      <c r="D44" s="20" t="s">
        <v>53</v>
      </c>
      <c r="E44" s="21" t="n">
        <v>9</v>
      </c>
      <c r="F44" s="22" t="n">
        <v>95</v>
      </c>
      <c r="G44" s="17" t="n">
        <f aca="false">E44*F44</f>
        <v>855</v>
      </c>
      <c r="H44" s="5" t="s">
        <v>54</v>
      </c>
      <c r="I44" s="24" t="s">
        <v>55</v>
      </c>
    </row>
    <row r="45" customFormat="false" ht="15.75" hidden="false" customHeight="true" outlineLevel="0" collapsed="false">
      <c r="A45" s="7" t="s">
        <v>91</v>
      </c>
      <c r="B45" s="13" t="n">
        <v>46155</v>
      </c>
      <c r="C45" s="14" t="s">
        <v>34</v>
      </c>
      <c r="D45" s="14" t="s">
        <v>35</v>
      </c>
      <c r="E45" s="15" t="n">
        <v>2</v>
      </c>
      <c r="F45" s="16" t="n">
        <v>45</v>
      </c>
      <c r="G45" s="17" t="n">
        <f aca="false">E45*F45</f>
        <v>90</v>
      </c>
      <c r="H45" s="7" t="s">
        <v>36</v>
      </c>
      <c r="I45" s="18" t="s">
        <v>37</v>
      </c>
    </row>
    <row r="46" customFormat="false" ht="15.75" hidden="false" customHeight="true" outlineLevel="0" collapsed="false">
      <c r="A46" s="5" t="s">
        <v>92</v>
      </c>
      <c r="B46" s="19" t="n">
        <v>46187</v>
      </c>
      <c r="C46" s="20" t="s">
        <v>39</v>
      </c>
      <c r="D46" s="20" t="s">
        <v>40</v>
      </c>
      <c r="E46" s="21" t="n">
        <v>4</v>
      </c>
      <c r="F46" s="22" t="n">
        <v>120</v>
      </c>
      <c r="G46" s="17" t="n">
        <f aca="false">E46*F46</f>
        <v>480</v>
      </c>
      <c r="H46" s="5" t="s">
        <v>41</v>
      </c>
      <c r="I46" s="18" t="s">
        <v>37</v>
      </c>
    </row>
    <row r="47" customFormat="false" ht="15.75" hidden="false" customHeight="true" outlineLevel="0" collapsed="false">
      <c r="A47" s="7" t="s">
        <v>93</v>
      </c>
      <c r="B47" s="13" t="n">
        <v>46037</v>
      </c>
      <c r="C47" s="14" t="s">
        <v>43</v>
      </c>
      <c r="D47" s="14" t="s">
        <v>44</v>
      </c>
      <c r="E47" s="15" t="n">
        <v>6</v>
      </c>
      <c r="F47" s="16" t="n">
        <v>85</v>
      </c>
      <c r="G47" s="17" t="n">
        <f aca="false">E47*F47</f>
        <v>510</v>
      </c>
      <c r="H47" s="7" t="s">
        <v>45</v>
      </c>
      <c r="I47" s="18" t="s">
        <v>37</v>
      </c>
    </row>
    <row r="48" customFormat="false" ht="15.75" hidden="false" customHeight="true" outlineLevel="0" collapsed="false">
      <c r="A48" s="5" t="s">
        <v>94</v>
      </c>
      <c r="B48" s="19" t="n">
        <v>46069</v>
      </c>
      <c r="C48" s="20" t="s">
        <v>47</v>
      </c>
      <c r="D48" s="20" t="s">
        <v>48</v>
      </c>
      <c r="E48" s="21" t="n">
        <v>8</v>
      </c>
      <c r="F48" s="22" t="n">
        <v>60</v>
      </c>
      <c r="G48" s="17" t="n">
        <f aca="false">E48*F48</f>
        <v>480</v>
      </c>
      <c r="H48" s="5" t="s">
        <v>49</v>
      </c>
      <c r="I48" s="23" t="s">
        <v>50</v>
      </c>
    </row>
    <row r="49" customFormat="false" ht="15.75" hidden="false" customHeight="true" outlineLevel="0" collapsed="false">
      <c r="A49" s="7" t="s">
        <v>95</v>
      </c>
      <c r="B49" s="13" t="n">
        <v>46098</v>
      </c>
      <c r="C49" s="14" t="s">
        <v>52</v>
      </c>
      <c r="D49" s="14" t="s">
        <v>53</v>
      </c>
      <c r="E49" s="15" t="n">
        <v>10</v>
      </c>
      <c r="F49" s="16" t="n">
        <v>95</v>
      </c>
      <c r="G49" s="17" t="n">
        <f aca="false">E49*F49</f>
        <v>950</v>
      </c>
      <c r="H49" s="7" t="s">
        <v>54</v>
      </c>
      <c r="I49" s="24" t="s">
        <v>55</v>
      </c>
    </row>
    <row r="50" customFormat="false" ht="15.75" hidden="false" customHeight="true" outlineLevel="0" collapsed="false">
      <c r="A50" s="5" t="s">
        <v>96</v>
      </c>
      <c r="B50" s="19" t="n">
        <v>46130</v>
      </c>
      <c r="C50" s="20" t="s">
        <v>34</v>
      </c>
      <c r="D50" s="20" t="s">
        <v>35</v>
      </c>
      <c r="E50" s="21" t="n">
        <v>12</v>
      </c>
      <c r="F50" s="22" t="n">
        <v>45</v>
      </c>
      <c r="G50" s="17" t="n">
        <f aca="false">E50*F50</f>
        <v>540</v>
      </c>
      <c r="H50" s="5" t="s">
        <v>36</v>
      </c>
      <c r="I50" s="18" t="s">
        <v>37</v>
      </c>
    </row>
    <row r="51" customFormat="false" ht="15.75" hidden="false" customHeight="true" outlineLevel="0" collapsed="false">
      <c r="A51" s="7" t="s">
        <v>97</v>
      </c>
      <c r="B51" s="13" t="n">
        <v>46161</v>
      </c>
      <c r="C51" s="14" t="s">
        <v>39</v>
      </c>
      <c r="D51" s="14" t="s">
        <v>40</v>
      </c>
      <c r="E51" s="15" t="n">
        <v>3</v>
      </c>
      <c r="F51" s="16" t="n">
        <v>120</v>
      </c>
      <c r="G51" s="17" t="n">
        <f aca="false">E51*F51</f>
        <v>360</v>
      </c>
      <c r="H51" s="7" t="s">
        <v>41</v>
      </c>
      <c r="I51" s="18" t="s">
        <v>37</v>
      </c>
    </row>
    <row r="52" customFormat="false" ht="15.75" hidden="false" customHeight="true" outlineLevel="0" collapsed="false">
      <c r="A52" s="5" t="s">
        <v>98</v>
      </c>
      <c r="B52" s="19" t="n">
        <v>46193</v>
      </c>
      <c r="C52" s="20" t="s">
        <v>43</v>
      </c>
      <c r="D52" s="20" t="s">
        <v>44</v>
      </c>
      <c r="E52" s="21" t="n">
        <v>5</v>
      </c>
      <c r="F52" s="22" t="n">
        <v>85</v>
      </c>
      <c r="G52" s="17" t="n">
        <f aca="false">E52*F52</f>
        <v>425</v>
      </c>
      <c r="H52" s="5" t="s">
        <v>45</v>
      </c>
      <c r="I52" s="18" t="s">
        <v>37</v>
      </c>
    </row>
    <row r="53" customFormat="false" ht="15.75" hidden="false" customHeight="true" outlineLevel="0" collapsed="false">
      <c r="A53" s="7" t="s">
        <v>99</v>
      </c>
      <c r="B53" s="13" t="n">
        <v>46043</v>
      </c>
      <c r="C53" s="14" t="s">
        <v>47</v>
      </c>
      <c r="D53" s="14" t="s">
        <v>48</v>
      </c>
      <c r="E53" s="15" t="n">
        <v>7</v>
      </c>
      <c r="F53" s="16" t="n">
        <v>60</v>
      </c>
      <c r="G53" s="17" t="n">
        <f aca="false">E53*F53</f>
        <v>420</v>
      </c>
      <c r="H53" s="7" t="s">
        <v>49</v>
      </c>
      <c r="I53" s="23" t="s">
        <v>50</v>
      </c>
    </row>
    <row r="54" customFormat="false" ht="15.75" hidden="false" customHeight="true" outlineLevel="0" collapsed="false">
      <c r="A54" s="5" t="s">
        <v>100</v>
      </c>
      <c r="B54" s="19" t="n">
        <v>46075</v>
      </c>
      <c r="C54" s="20" t="s">
        <v>52</v>
      </c>
      <c r="D54" s="20" t="s">
        <v>53</v>
      </c>
      <c r="E54" s="21" t="n">
        <v>9</v>
      </c>
      <c r="F54" s="22" t="n">
        <v>95</v>
      </c>
      <c r="G54" s="17" t="n">
        <f aca="false">E54*F54</f>
        <v>855</v>
      </c>
      <c r="H54" s="5" t="s">
        <v>54</v>
      </c>
      <c r="I54" s="24" t="s">
        <v>55</v>
      </c>
    </row>
    <row r="55" customFormat="false" ht="15.75" hidden="false" customHeight="true" outlineLevel="0" collapsed="false">
      <c r="A55" s="7" t="s">
        <v>101</v>
      </c>
      <c r="B55" s="13" t="n">
        <v>46104</v>
      </c>
      <c r="C55" s="14" t="s">
        <v>34</v>
      </c>
      <c r="D55" s="14" t="s">
        <v>35</v>
      </c>
      <c r="E55" s="15" t="n">
        <v>2</v>
      </c>
      <c r="F55" s="16" t="n">
        <v>45</v>
      </c>
      <c r="G55" s="17" t="n">
        <f aca="false">E55*F55</f>
        <v>90</v>
      </c>
      <c r="H55" s="7" t="s">
        <v>36</v>
      </c>
      <c r="I55" s="18" t="s">
        <v>37</v>
      </c>
    </row>
    <row r="56" customFormat="false" ht="15.75" hidden="false" customHeight="true" outlineLevel="0" collapsed="false">
      <c r="A56" s="5" t="s">
        <v>102</v>
      </c>
      <c r="B56" s="19" t="n">
        <v>46136</v>
      </c>
      <c r="C56" s="20" t="s">
        <v>39</v>
      </c>
      <c r="D56" s="20" t="s">
        <v>40</v>
      </c>
      <c r="E56" s="21" t="n">
        <v>4</v>
      </c>
      <c r="F56" s="22" t="n">
        <v>120</v>
      </c>
      <c r="G56" s="17" t="n">
        <f aca="false">E56*F56</f>
        <v>480</v>
      </c>
      <c r="H56" s="5" t="s">
        <v>41</v>
      </c>
      <c r="I56" s="18" t="s">
        <v>37</v>
      </c>
    </row>
    <row r="57" customFormat="false" ht="15.75" hidden="false" customHeight="true" outlineLevel="0" collapsed="false">
      <c r="A57" s="7" t="s">
        <v>103</v>
      </c>
      <c r="B57" s="13" t="n">
        <v>46167</v>
      </c>
      <c r="C57" s="14" t="s">
        <v>43</v>
      </c>
      <c r="D57" s="14" t="s">
        <v>44</v>
      </c>
      <c r="E57" s="15" t="n">
        <v>6</v>
      </c>
      <c r="F57" s="16" t="n">
        <v>85</v>
      </c>
      <c r="G57" s="17" t="n">
        <f aca="false">E57*F57</f>
        <v>510</v>
      </c>
      <c r="H57" s="7" t="s">
        <v>45</v>
      </c>
      <c r="I57" s="18" t="s">
        <v>37</v>
      </c>
    </row>
    <row r="58" customFormat="false" ht="15.75" hidden="false" customHeight="true" outlineLevel="0" collapsed="false">
      <c r="A58" s="5" t="s">
        <v>104</v>
      </c>
      <c r="B58" s="19" t="n">
        <v>46199</v>
      </c>
      <c r="C58" s="20" t="s">
        <v>47</v>
      </c>
      <c r="D58" s="20" t="s">
        <v>48</v>
      </c>
      <c r="E58" s="21" t="n">
        <v>8</v>
      </c>
      <c r="F58" s="22" t="n">
        <v>60</v>
      </c>
      <c r="G58" s="17" t="n">
        <f aca="false">E58*F58</f>
        <v>480</v>
      </c>
      <c r="H58" s="5" t="s">
        <v>49</v>
      </c>
      <c r="I58" s="23" t="s">
        <v>50</v>
      </c>
    </row>
    <row r="59" customFormat="false" ht="15.75" hidden="false" customHeight="true" outlineLevel="0" collapsed="false">
      <c r="A59" s="7" t="s">
        <v>105</v>
      </c>
      <c r="B59" s="13" t="n">
        <v>46049</v>
      </c>
      <c r="C59" s="14" t="s">
        <v>52</v>
      </c>
      <c r="D59" s="14" t="s">
        <v>53</v>
      </c>
      <c r="E59" s="15" t="n">
        <v>10</v>
      </c>
      <c r="F59" s="16" t="n">
        <v>95</v>
      </c>
      <c r="G59" s="17" t="n">
        <f aca="false">E59*F59</f>
        <v>950</v>
      </c>
      <c r="H59" s="7" t="s">
        <v>54</v>
      </c>
      <c r="I59" s="24" t="s">
        <v>55</v>
      </c>
    </row>
    <row r="60" customFormat="false" ht="15.75" hidden="false" customHeight="true" outlineLevel="0" collapsed="false">
      <c r="A60" s="5" t="s">
        <v>106</v>
      </c>
      <c r="B60" s="19" t="n">
        <v>46081</v>
      </c>
      <c r="C60" s="20" t="s">
        <v>34</v>
      </c>
      <c r="D60" s="20" t="s">
        <v>35</v>
      </c>
      <c r="E60" s="21" t="n">
        <v>12</v>
      </c>
      <c r="F60" s="22" t="n">
        <v>45</v>
      </c>
      <c r="G60" s="17" t="n">
        <f aca="false">E60*F60</f>
        <v>540</v>
      </c>
      <c r="H60" s="5" t="s">
        <v>36</v>
      </c>
      <c r="I60" s="18" t="s">
        <v>37</v>
      </c>
    </row>
    <row r="61" customFormat="false" ht="15.75" hidden="false" customHeight="true" outlineLevel="0" collapsed="false">
      <c r="A61" s="7" t="s">
        <v>107</v>
      </c>
      <c r="B61" s="13" t="n">
        <v>46082</v>
      </c>
      <c r="C61" s="14" t="s">
        <v>39</v>
      </c>
      <c r="D61" s="14" t="s">
        <v>40</v>
      </c>
      <c r="E61" s="15" t="n">
        <v>3</v>
      </c>
      <c r="F61" s="16" t="n">
        <v>120</v>
      </c>
      <c r="G61" s="17" t="n">
        <f aca="false">E61*F61</f>
        <v>360</v>
      </c>
      <c r="H61" s="7" t="s">
        <v>41</v>
      </c>
      <c r="I61" s="18" t="s">
        <v>37</v>
      </c>
    </row>
    <row r="62" customFormat="false" ht="15.75" hidden="false" customHeight="true" outlineLevel="0" collapsed="false">
      <c r="A62" s="5" t="s">
        <v>108</v>
      </c>
      <c r="B62" s="19" t="n">
        <v>46114</v>
      </c>
      <c r="C62" s="20" t="s">
        <v>43</v>
      </c>
      <c r="D62" s="20" t="s">
        <v>44</v>
      </c>
      <c r="E62" s="21" t="n">
        <v>5</v>
      </c>
      <c r="F62" s="22" t="n">
        <v>85</v>
      </c>
      <c r="G62" s="17" t="n">
        <f aca="false">E62*F62</f>
        <v>425</v>
      </c>
      <c r="H62" s="5" t="s">
        <v>45</v>
      </c>
      <c r="I62" s="18" t="s">
        <v>37</v>
      </c>
    </row>
    <row r="63" customFormat="false" ht="15.75" hidden="false" customHeight="true" outlineLevel="0" collapsed="false">
      <c r="A63" s="7" t="s">
        <v>109</v>
      </c>
      <c r="B63" s="13" t="n">
        <v>46145</v>
      </c>
      <c r="C63" s="14" t="s">
        <v>47</v>
      </c>
      <c r="D63" s="14" t="s">
        <v>48</v>
      </c>
      <c r="E63" s="15" t="n">
        <v>7</v>
      </c>
      <c r="F63" s="16" t="n">
        <v>60</v>
      </c>
      <c r="G63" s="17" t="n">
        <f aca="false">E63*F63</f>
        <v>420</v>
      </c>
      <c r="H63" s="7" t="s">
        <v>49</v>
      </c>
      <c r="I63" s="23" t="s">
        <v>50</v>
      </c>
    </row>
    <row r="64" customFormat="false" ht="15.75" hidden="false" customHeight="true" outlineLevel="0" collapsed="false">
      <c r="A64" s="5" t="s">
        <v>110</v>
      </c>
      <c r="B64" s="19" t="n">
        <v>46177</v>
      </c>
      <c r="C64" s="20" t="s">
        <v>52</v>
      </c>
      <c r="D64" s="20" t="s">
        <v>53</v>
      </c>
      <c r="E64" s="21" t="n">
        <v>9</v>
      </c>
      <c r="F64" s="22" t="n">
        <v>95</v>
      </c>
      <c r="G64" s="17" t="n">
        <f aca="false">E64*F64</f>
        <v>855</v>
      </c>
      <c r="H64" s="5" t="s">
        <v>54</v>
      </c>
      <c r="I64" s="24" t="s">
        <v>55</v>
      </c>
    </row>
    <row r="65" customFormat="false" ht="15.75" hidden="false" customHeight="true" outlineLevel="0" collapsed="false">
      <c r="A65" s="7" t="s">
        <v>111</v>
      </c>
      <c r="B65" s="13" t="n">
        <v>46027</v>
      </c>
      <c r="C65" s="14" t="s">
        <v>34</v>
      </c>
      <c r="D65" s="14" t="s">
        <v>35</v>
      </c>
      <c r="E65" s="15" t="n">
        <v>2</v>
      </c>
      <c r="F65" s="16" t="n">
        <v>45</v>
      </c>
      <c r="G65" s="17" t="n">
        <f aca="false">E65*F65</f>
        <v>90</v>
      </c>
      <c r="H65" s="7" t="s">
        <v>36</v>
      </c>
      <c r="I65" s="18" t="s">
        <v>37</v>
      </c>
    </row>
    <row r="66" customFormat="false" ht="15.75" hidden="false" customHeight="true" outlineLevel="0" collapsed="false">
      <c r="A66" s="5" t="s">
        <v>112</v>
      </c>
      <c r="B66" s="19" t="n">
        <v>46059</v>
      </c>
      <c r="C66" s="20" t="s">
        <v>39</v>
      </c>
      <c r="D66" s="20" t="s">
        <v>40</v>
      </c>
      <c r="E66" s="21" t="n">
        <v>4</v>
      </c>
      <c r="F66" s="22" t="n">
        <v>120</v>
      </c>
      <c r="G66" s="17" t="n">
        <f aca="false">E66*F66</f>
        <v>480</v>
      </c>
      <c r="H66" s="5" t="s">
        <v>41</v>
      </c>
      <c r="I66" s="18" t="s">
        <v>37</v>
      </c>
    </row>
    <row r="67" customFormat="false" ht="15.75" hidden="false" customHeight="true" outlineLevel="0" collapsed="false">
      <c r="A67" s="7" t="s">
        <v>113</v>
      </c>
      <c r="B67" s="13" t="n">
        <v>46088</v>
      </c>
      <c r="C67" s="14" t="s">
        <v>43</v>
      </c>
      <c r="D67" s="14" t="s">
        <v>44</v>
      </c>
      <c r="E67" s="15" t="n">
        <v>6</v>
      </c>
      <c r="F67" s="16" t="n">
        <v>85</v>
      </c>
      <c r="G67" s="17" t="n">
        <f aca="false">E67*F67</f>
        <v>510</v>
      </c>
      <c r="H67" s="7" t="s">
        <v>45</v>
      </c>
      <c r="I67" s="18" t="s">
        <v>37</v>
      </c>
    </row>
    <row r="68" customFormat="false" ht="15.75" hidden="false" customHeight="true" outlineLevel="0" collapsed="false">
      <c r="A68" s="5" t="s">
        <v>114</v>
      </c>
      <c r="B68" s="19" t="n">
        <v>46120</v>
      </c>
      <c r="C68" s="20" t="s">
        <v>47</v>
      </c>
      <c r="D68" s="20" t="s">
        <v>48</v>
      </c>
      <c r="E68" s="21" t="n">
        <v>8</v>
      </c>
      <c r="F68" s="22" t="n">
        <v>60</v>
      </c>
      <c r="G68" s="17" t="n">
        <f aca="false">E68*F68</f>
        <v>480</v>
      </c>
      <c r="H68" s="5" t="s">
        <v>49</v>
      </c>
      <c r="I68" s="23" t="s">
        <v>50</v>
      </c>
    </row>
    <row r="69" customFormat="false" ht="15.75" hidden="false" customHeight="true" outlineLevel="0" collapsed="false">
      <c r="A69" s="7" t="s">
        <v>115</v>
      </c>
      <c r="B69" s="13" t="n">
        <v>46151</v>
      </c>
      <c r="C69" s="14" t="s">
        <v>52</v>
      </c>
      <c r="D69" s="14" t="s">
        <v>53</v>
      </c>
      <c r="E69" s="15" t="n">
        <v>10</v>
      </c>
      <c r="F69" s="16" t="n">
        <v>95</v>
      </c>
      <c r="G69" s="17" t="n">
        <f aca="false">E69*F69</f>
        <v>950</v>
      </c>
      <c r="H69" s="7" t="s">
        <v>54</v>
      </c>
      <c r="I69" s="24" t="s">
        <v>55</v>
      </c>
    </row>
    <row r="70" customFormat="false" ht="15.75" hidden="false" customHeight="true" outlineLevel="0" collapsed="false">
      <c r="A70" s="5" t="s">
        <v>116</v>
      </c>
      <c r="B70" s="19" t="n">
        <v>46183</v>
      </c>
      <c r="C70" s="20" t="s">
        <v>34</v>
      </c>
      <c r="D70" s="20" t="s">
        <v>35</v>
      </c>
      <c r="E70" s="21" t="n">
        <v>12</v>
      </c>
      <c r="F70" s="22" t="n">
        <v>45</v>
      </c>
      <c r="G70" s="17" t="n">
        <f aca="false">E70*F70</f>
        <v>540</v>
      </c>
      <c r="H70" s="5" t="s">
        <v>36</v>
      </c>
      <c r="I70" s="18" t="s">
        <v>37</v>
      </c>
    </row>
    <row r="71" customFormat="false" ht="15.75" hidden="false" customHeight="true" outlineLevel="0" collapsed="false">
      <c r="A71" s="7" t="s">
        <v>117</v>
      </c>
      <c r="B71" s="13" t="n">
        <v>46033</v>
      </c>
      <c r="C71" s="14" t="s">
        <v>39</v>
      </c>
      <c r="D71" s="14" t="s">
        <v>40</v>
      </c>
      <c r="E71" s="15" t="n">
        <v>3</v>
      </c>
      <c r="F71" s="16" t="n">
        <v>120</v>
      </c>
      <c r="G71" s="17" t="n">
        <f aca="false">E71*F71</f>
        <v>360</v>
      </c>
      <c r="H71" s="7" t="s">
        <v>41</v>
      </c>
      <c r="I71" s="18" t="s">
        <v>37</v>
      </c>
    </row>
    <row r="72" customFormat="false" ht="15.75" hidden="false" customHeight="true" outlineLevel="0" collapsed="false">
      <c r="A72" s="5" t="s">
        <v>118</v>
      </c>
      <c r="B72" s="19" t="n">
        <v>46065</v>
      </c>
      <c r="C72" s="20" t="s">
        <v>43</v>
      </c>
      <c r="D72" s="20" t="s">
        <v>44</v>
      </c>
      <c r="E72" s="21" t="n">
        <v>5</v>
      </c>
      <c r="F72" s="22" t="n">
        <v>85</v>
      </c>
      <c r="G72" s="17" t="n">
        <f aca="false">E72*F72</f>
        <v>425</v>
      </c>
      <c r="H72" s="5" t="s">
        <v>45</v>
      </c>
      <c r="I72" s="18" t="s">
        <v>37</v>
      </c>
    </row>
    <row r="73" customFormat="false" ht="15.75" hidden="false" customHeight="true" outlineLevel="0" collapsed="false">
      <c r="A73" s="7" t="s">
        <v>119</v>
      </c>
      <c r="B73" s="13" t="n">
        <v>46094</v>
      </c>
      <c r="C73" s="14" t="s">
        <v>47</v>
      </c>
      <c r="D73" s="14" t="s">
        <v>48</v>
      </c>
      <c r="E73" s="15" t="n">
        <v>7</v>
      </c>
      <c r="F73" s="16" t="n">
        <v>60</v>
      </c>
      <c r="G73" s="17" t="n">
        <f aca="false">E73*F73</f>
        <v>420</v>
      </c>
      <c r="H73" s="7" t="s">
        <v>49</v>
      </c>
      <c r="I73" s="23" t="s">
        <v>50</v>
      </c>
    </row>
    <row r="74" customFormat="false" ht="15.75" hidden="false" customHeight="true" outlineLevel="0" collapsed="false">
      <c r="A74" s="5" t="s">
        <v>120</v>
      </c>
      <c r="B74" s="19" t="n">
        <v>46126</v>
      </c>
      <c r="C74" s="20" t="s">
        <v>52</v>
      </c>
      <c r="D74" s="20" t="s">
        <v>53</v>
      </c>
      <c r="E74" s="21" t="n">
        <v>9</v>
      </c>
      <c r="F74" s="22" t="n">
        <v>95</v>
      </c>
      <c r="G74" s="17" t="n">
        <f aca="false">E74*F74</f>
        <v>855</v>
      </c>
      <c r="H74" s="5" t="s">
        <v>54</v>
      </c>
      <c r="I74" s="24" t="s">
        <v>55</v>
      </c>
    </row>
    <row r="75" customFormat="false" ht="15.75" hidden="false" customHeight="true" outlineLevel="0" collapsed="false">
      <c r="A75" s="7" t="s">
        <v>121</v>
      </c>
      <c r="B75" s="13" t="n">
        <v>46157</v>
      </c>
      <c r="C75" s="14" t="s">
        <v>34</v>
      </c>
      <c r="D75" s="14" t="s">
        <v>35</v>
      </c>
      <c r="E75" s="15" t="n">
        <v>2</v>
      </c>
      <c r="F75" s="16" t="n">
        <v>45</v>
      </c>
      <c r="G75" s="17" t="n">
        <f aca="false">E75*F75</f>
        <v>90</v>
      </c>
      <c r="H75" s="7" t="s">
        <v>36</v>
      </c>
      <c r="I75" s="18" t="s">
        <v>37</v>
      </c>
    </row>
    <row r="76" customFormat="false" ht="15.75" hidden="false" customHeight="true" outlineLevel="0" collapsed="false">
      <c r="A76" s="5" t="s">
        <v>122</v>
      </c>
      <c r="B76" s="19" t="n">
        <v>46189</v>
      </c>
      <c r="C76" s="20" t="s">
        <v>39</v>
      </c>
      <c r="D76" s="20" t="s">
        <v>40</v>
      </c>
      <c r="E76" s="21" t="n">
        <v>4</v>
      </c>
      <c r="F76" s="22" t="n">
        <v>120</v>
      </c>
      <c r="G76" s="17" t="n">
        <f aca="false">E76*F76</f>
        <v>480</v>
      </c>
      <c r="H76" s="5" t="s">
        <v>41</v>
      </c>
      <c r="I76" s="18" t="s">
        <v>37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0" t="s">
        <v>123</v>
      </c>
      <c r="B1" s="10"/>
      <c r="C1" s="10"/>
      <c r="D1" s="10"/>
      <c r="E1" s="10"/>
    </row>
    <row r="2" customFormat="false" ht="18" hidden="false" customHeight="true" outlineLevel="0" collapsed="false">
      <c r="A2" s="11" t="s">
        <v>124</v>
      </c>
      <c r="B2" s="11"/>
      <c r="C2" s="11"/>
      <c r="D2" s="11"/>
      <c r="E2" s="11"/>
    </row>
    <row r="4" customFormat="false" ht="21.75" hidden="false" customHeight="true" outlineLevel="0" collapsed="false">
      <c r="A4" s="4" t="s">
        <v>125</v>
      </c>
      <c r="B4" s="4" t="s">
        <v>126</v>
      </c>
      <c r="C4" s="4" t="s">
        <v>127</v>
      </c>
      <c r="D4" s="4" t="s">
        <v>128</v>
      </c>
      <c r="E4" s="4" t="s">
        <v>129</v>
      </c>
    </row>
    <row r="5" customFormat="false" ht="24" hidden="false" customHeight="true" outlineLevel="0" collapsed="false">
      <c r="A5" s="8" t="s">
        <v>130</v>
      </c>
      <c r="B5" s="7" t="s">
        <v>131</v>
      </c>
      <c r="C5" s="14" t="s">
        <v>30</v>
      </c>
      <c r="D5" s="25" t="n">
        <f aca="false">SUM(BASE!G5:G76)</f>
        <v>36340</v>
      </c>
      <c r="E5" s="26" t="s">
        <v>132</v>
      </c>
    </row>
    <row r="6" customFormat="false" ht="24" hidden="false" customHeight="true" outlineLevel="0" collapsed="false">
      <c r="A6" s="6" t="s">
        <v>133</v>
      </c>
      <c r="B6" s="5" t="s">
        <v>134</v>
      </c>
      <c r="C6" s="20" t="s">
        <v>30</v>
      </c>
      <c r="D6" s="25" t="n">
        <f aca="false">AVERAGE(BASE!G5:G76)</f>
        <v>504.722222222222</v>
      </c>
      <c r="E6" s="26" t="s">
        <v>133</v>
      </c>
    </row>
    <row r="7" customFormat="false" ht="24" hidden="false" customHeight="true" outlineLevel="0" collapsed="false">
      <c r="A7" s="8" t="s">
        <v>135</v>
      </c>
      <c r="B7" s="7" t="s">
        <v>136</v>
      </c>
      <c r="C7" s="14" t="s">
        <v>30</v>
      </c>
      <c r="D7" s="25" t="n">
        <f aca="false">MAX(BASE!G5:G76)</f>
        <v>950</v>
      </c>
      <c r="E7" s="26" t="s">
        <v>135</v>
      </c>
    </row>
    <row r="8" customFormat="false" ht="24" hidden="false" customHeight="true" outlineLevel="0" collapsed="false">
      <c r="A8" s="6" t="s">
        <v>137</v>
      </c>
      <c r="B8" s="5" t="s">
        <v>138</v>
      </c>
      <c r="C8" s="20" t="s">
        <v>30</v>
      </c>
      <c r="D8" s="25" t="n">
        <f aca="false">MIN(BASE!G5:G76)</f>
        <v>90</v>
      </c>
      <c r="E8" s="26" t="s">
        <v>137</v>
      </c>
    </row>
    <row r="9" customFormat="false" ht="24" hidden="false" customHeight="true" outlineLevel="0" collapsed="false">
      <c r="A9" s="8" t="s">
        <v>139</v>
      </c>
      <c r="B9" s="7" t="s">
        <v>140</v>
      </c>
      <c r="C9" s="14" t="s">
        <v>24</v>
      </c>
      <c r="D9" s="27" t="n">
        <f aca="false">COUNTA(BASE!A5:A76)</f>
        <v>72</v>
      </c>
      <c r="E9" s="26" t="s">
        <v>141</v>
      </c>
    </row>
    <row r="10" customFormat="false" ht="24" hidden="false" customHeight="true" outlineLevel="0" collapsed="false">
      <c r="A10" s="6" t="s">
        <v>142</v>
      </c>
      <c r="B10" s="5" t="s">
        <v>143</v>
      </c>
      <c r="C10" s="20" t="s">
        <v>144</v>
      </c>
      <c r="D10" s="27" t="n">
        <f aca="false">COUNTIF(BASE!I5:I76,"Realizado")</f>
        <v>44</v>
      </c>
      <c r="E10" s="26" t="s">
        <v>145</v>
      </c>
    </row>
    <row r="11" customFormat="false" ht="24" hidden="false" customHeight="true" outlineLevel="0" collapsed="false">
      <c r="A11" s="8" t="s">
        <v>146</v>
      </c>
      <c r="B11" s="7" t="s">
        <v>143</v>
      </c>
      <c r="C11" s="14" t="s">
        <v>147</v>
      </c>
      <c r="D11" s="27" t="n">
        <f aca="false">COUNTIF(BASE!I5:I76,"Pendente")</f>
        <v>14</v>
      </c>
      <c r="E11" s="26" t="s">
        <v>148</v>
      </c>
    </row>
    <row r="12" customFormat="false" ht="24" hidden="false" customHeight="true" outlineLevel="0" collapsed="false">
      <c r="A12" s="6" t="s">
        <v>149</v>
      </c>
      <c r="B12" s="5" t="s">
        <v>143</v>
      </c>
      <c r="C12" s="20" t="s">
        <v>150</v>
      </c>
      <c r="D12" s="27" t="n">
        <f aca="false">COUNTIF(BASE!I5:I76,"Cancelado")</f>
        <v>14</v>
      </c>
      <c r="E12" s="26" t="s">
        <v>151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0" t="s">
        <v>152</v>
      </c>
      <c r="B1" s="10"/>
      <c r="C1" s="10"/>
      <c r="D1" s="10"/>
      <c r="E1" s="10"/>
      <c r="F1" s="10"/>
    </row>
    <row r="2" customFormat="false" ht="18" hidden="false" customHeight="true" outlineLevel="0" collapsed="false">
      <c r="A2" s="11" t="s">
        <v>153</v>
      </c>
      <c r="B2" s="11"/>
      <c r="C2" s="11"/>
      <c r="D2" s="11"/>
      <c r="E2" s="11"/>
      <c r="F2" s="11"/>
    </row>
    <row r="4" customFormat="false" ht="21.75" hidden="false" customHeight="true" outlineLevel="0" collapsed="false">
      <c r="A4" s="28" t="s">
        <v>154</v>
      </c>
      <c r="B4" s="28"/>
      <c r="C4" s="28"/>
      <c r="D4" s="28"/>
    </row>
    <row r="6" customFormat="false" ht="19.5" hidden="false" customHeight="true" outlineLevel="0" collapsed="false">
      <c r="A6" s="4" t="s">
        <v>155</v>
      </c>
      <c r="B6" s="27" t="n">
        <f aca="false">COUNTIF(BASE!C5:C76,"Conferência")</f>
        <v>15</v>
      </c>
      <c r="C6" s="25" t="n">
        <f aca="false">SUMIF(BASE!C5:C76,"Conferência",BASE!G5:G76)</f>
        <v>4500</v>
      </c>
      <c r="D6" s="25" t="n">
        <f aca="false">AVERAGEIF(BASE!C5:C76,"Conferência",BASE!G5:G76)</f>
        <v>300</v>
      </c>
    </row>
    <row r="7" customFormat="false" ht="19.5" hidden="false" customHeight="true" outlineLevel="0" collapsed="false">
      <c r="A7" s="14" t="s">
        <v>34</v>
      </c>
      <c r="B7" s="27" t="n">
        <f aca="false">COUNTIF(BASE!C5:C76,"Formação")</f>
        <v>15</v>
      </c>
      <c r="C7" s="25" t="n">
        <f aca="false">SUMIF(BASE!C5:C76,"Formação",BASE!G5:G76)</f>
        <v>6360</v>
      </c>
      <c r="D7" s="25" t="n">
        <f aca="false">AVERAGEIF(BASE!C5:C76,"Formação",BASE!G5:G76)</f>
        <v>424</v>
      </c>
    </row>
    <row r="8" customFormat="false" ht="19.5" hidden="false" customHeight="true" outlineLevel="0" collapsed="false">
      <c r="A8" s="20" t="s">
        <v>39</v>
      </c>
      <c r="B8" s="27" t="n">
        <f aca="false">COUNTIF(BASE!C5:C76,"Festa")</f>
        <v>14</v>
      </c>
      <c r="C8" s="25" t="n">
        <f aca="false">SUMIF(BASE!C5:C76,"Festa",BASE!G5:G76)</f>
        <v>6545</v>
      </c>
      <c r="D8" s="25" t="n">
        <f aca="false">AVERAGEIF(BASE!C5:C76,"Festa",BASE!G5:G76)</f>
        <v>467.5</v>
      </c>
    </row>
    <row r="9" customFormat="false" ht="19.5" hidden="false" customHeight="true" outlineLevel="0" collapsed="false">
      <c r="A9" s="14" t="s">
        <v>43</v>
      </c>
      <c r="B9" s="27" t="n">
        <f aca="false">COUNTIF(BASE!C5:C76,"Reunião")</f>
        <v>14</v>
      </c>
      <c r="C9" s="25" t="n">
        <f aca="false">SUMIF(BASE!C5:C76,"Reunião",BASE!G5:G76)</f>
        <v>6300</v>
      </c>
      <c r="D9" s="25" t="n">
        <f aca="false">AVERAGEIF(BASE!C5:C76,"Reunião",BASE!G5:G76)</f>
        <v>450</v>
      </c>
    </row>
    <row r="10" customFormat="false" ht="19.5" hidden="false" customHeight="true" outlineLevel="0" collapsed="false">
      <c r="A10" s="20" t="s">
        <v>47</v>
      </c>
      <c r="B10" s="27" t="n">
        <f aca="false">COUNTIF(BASE!C5:C76,"Lançamento")</f>
        <v>14</v>
      </c>
      <c r="C10" s="25" t="n">
        <f aca="false">SUMIF(BASE!C5:C76,"Lançamento",BASE!G5:G76)</f>
        <v>12635</v>
      </c>
      <c r="D10" s="25" t="n">
        <f aca="false">AVERAGEIF(BASE!C5:C76,"Lançamento",BASE!G5:G76)</f>
        <v>902.5</v>
      </c>
    </row>
    <row r="11" customFormat="false" ht="19.5" hidden="false" customHeight="true" outlineLevel="0" collapsed="false">
      <c r="A11" s="14" t="s">
        <v>52</v>
      </c>
      <c r="B11" s="29"/>
      <c r="C11" s="29"/>
      <c r="D11" s="29"/>
    </row>
    <row r="13" customFormat="false" ht="21.75" hidden="false" customHeight="true" outlineLevel="0" collapsed="false">
      <c r="A13" s="28" t="s">
        <v>156</v>
      </c>
      <c r="B13" s="28"/>
      <c r="C13" s="28"/>
      <c r="D13" s="28"/>
    </row>
    <row r="15" customFormat="false" ht="19.5" hidden="false" customHeight="true" outlineLevel="0" collapsed="false">
      <c r="A15" s="4" t="s">
        <v>27</v>
      </c>
      <c r="B15" s="27" t="n">
        <f aca="false">COUNTIF(BASE!D5:D76,"Catering")</f>
        <v>15</v>
      </c>
      <c r="C15" s="25" t="n">
        <f aca="false">SUMIF(BASE!D5:D76,"Catering",BASE!G5:G76)</f>
        <v>4500</v>
      </c>
      <c r="D15" s="25" t="n">
        <f aca="false">AVERAGEIF(BASE!D5:D76,"Catering",BASE!G5:G76)</f>
        <v>300</v>
      </c>
    </row>
    <row r="16" customFormat="false" ht="19.5" hidden="false" customHeight="true" outlineLevel="0" collapsed="false">
      <c r="A16" s="14" t="s">
        <v>35</v>
      </c>
      <c r="B16" s="27" t="n">
        <f aca="false">COUNTIF(BASE!D5:D76,"Audiovisual")</f>
        <v>15</v>
      </c>
      <c r="C16" s="25" t="n">
        <f aca="false">SUMIF(BASE!D5:D76,"Audiovisual",BASE!G5:G76)</f>
        <v>6360</v>
      </c>
      <c r="D16" s="25" t="n">
        <f aca="false">AVERAGEIF(BASE!D5:D76,"Audiovisual",BASE!G5:G76)</f>
        <v>424</v>
      </c>
    </row>
    <row r="17" customFormat="false" ht="19.5" hidden="false" customHeight="true" outlineLevel="0" collapsed="false">
      <c r="A17" s="20" t="s">
        <v>40</v>
      </c>
      <c r="B17" s="27" t="n">
        <f aca="false">COUNTIF(BASE!D5:D76,"Decoração")</f>
        <v>14</v>
      </c>
      <c r="C17" s="25" t="n">
        <f aca="false">SUMIF(BASE!D5:D76,"Decoração",BASE!G5:G76)</f>
        <v>6545</v>
      </c>
      <c r="D17" s="25" t="n">
        <f aca="false">AVERAGEIF(BASE!D5:D76,"Decoração",BASE!G5:G76)</f>
        <v>467.5</v>
      </c>
    </row>
    <row r="18" customFormat="false" ht="19.5" hidden="false" customHeight="true" outlineLevel="0" collapsed="false">
      <c r="A18" s="14" t="s">
        <v>44</v>
      </c>
      <c r="B18" s="27" t="n">
        <f aca="false">COUNTIF(BASE!D5:D76,"Logística")</f>
        <v>14</v>
      </c>
      <c r="C18" s="25" t="n">
        <f aca="false">SUMIF(BASE!D5:D76,"Logística",BASE!G5:G76)</f>
        <v>6300</v>
      </c>
      <c r="D18" s="25" t="n">
        <f aca="false">AVERAGEIF(BASE!D5:D76,"Logística",BASE!G5:G76)</f>
        <v>450</v>
      </c>
    </row>
    <row r="19" customFormat="false" ht="19.5" hidden="false" customHeight="true" outlineLevel="0" collapsed="false">
      <c r="A19" s="20" t="s">
        <v>48</v>
      </c>
      <c r="B19" s="27" t="n">
        <f aca="false">COUNTIF(BASE!D5:D76,"Animação")</f>
        <v>14</v>
      </c>
      <c r="C19" s="25" t="n">
        <f aca="false">SUMIF(BASE!D5:D76,"Animação",BASE!G5:G76)</f>
        <v>12635</v>
      </c>
      <c r="D19" s="25" t="n">
        <f aca="false">AVERAGEIF(BASE!D5:D76,"Animação",BASE!G5:G76)</f>
        <v>902.5</v>
      </c>
    </row>
    <row r="20" customFormat="false" ht="19.5" hidden="false" customHeight="true" outlineLevel="0" collapsed="false">
      <c r="A20" s="14" t="s">
        <v>53</v>
      </c>
      <c r="B20" s="29"/>
      <c r="C20" s="29"/>
      <c r="D20" s="29"/>
    </row>
    <row r="22" customFormat="false" ht="21.75" hidden="false" customHeight="true" outlineLevel="0" collapsed="false">
      <c r="A22" s="28" t="s">
        <v>157</v>
      </c>
      <c r="B22" s="28"/>
      <c r="C22" s="28"/>
      <c r="D22" s="28"/>
    </row>
    <row r="24" customFormat="false" ht="19.5" hidden="false" customHeight="true" outlineLevel="0" collapsed="false">
      <c r="A24" s="4" t="s">
        <v>31</v>
      </c>
      <c r="B24" s="27" t="n">
        <f aca="false">COUNTIF(BASE!H5:H76,"Norte")</f>
        <v>15</v>
      </c>
      <c r="C24" s="25" t="n">
        <f aca="false">SUMIF(BASE!H5:H76,"Norte",BASE!G5:G76)</f>
        <v>4500</v>
      </c>
      <c r="D24" s="25" t="n">
        <f aca="false">AVERAGEIF(BASE!H5:H76,"Norte",BASE!G5:G76)</f>
        <v>300</v>
      </c>
    </row>
    <row r="25" customFormat="false" ht="19.5" hidden="false" customHeight="true" outlineLevel="0" collapsed="false">
      <c r="A25" s="14" t="s">
        <v>36</v>
      </c>
      <c r="B25" s="27" t="n">
        <f aca="false">COUNTIF(BASE!H5:H76,"Lisboa")</f>
        <v>15</v>
      </c>
      <c r="C25" s="25" t="n">
        <f aca="false">SUMIF(BASE!H5:H76,"Lisboa",BASE!G5:G76)</f>
        <v>6360</v>
      </c>
      <c r="D25" s="25" t="n">
        <f aca="false">AVERAGEIF(BASE!H5:H76,"Lisboa",BASE!G5:G76)</f>
        <v>424</v>
      </c>
    </row>
    <row r="26" customFormat="false" ht="19.5" hidden="false" customHeight="true" outlineLevel="0" collapsed="false">
      <c r="A26" s="20" t="s">
        <v>41</v>
      </c>
      <c r="B26" s="27" t="n">
        <f aca="false">COUNTIF(BASE!H5:H76,"Centro")</f>
        <v>14</v>
      </c>
      <c r="C26" s="25" t="n">
        <f aca="false">SUMIF(BASE!H5:H76,"Centro",BASE!G5:G76)</f>
        <v>6545</v>
      </c>
      <c r="D26" s="25" t="n">
        <f aca="false">AVERAGEIF(BASE!H5:H76,"Centro",BASE!G5:G76)</f>
        <v>467.5</v>
      </c>
    </row>
    <row r="27" customFormat="false" ht="19.5" hidden="false" customHeight="true" outlineLevel="0" collapsed="false">
      <c r="A27" s="14" t="s">
        <v>45</v>
      </c>
      <c r="B27" s="27" t="n">
        <f aca="false">COUNTIF(BASE!H5:H76,"Alentejo")</f>
        <v>14</v>
      </c>
      <c r="C27" s="25" t="n">
        <f aca="false">SUMIF(BASE!H5:H76,"Alentejo",BASE!G5:G76)</f>
        <v>6300</v>
      </c>
      <c r="D27" s="25" t="n">
        <f aca="false">AVERAGEIF(BASE!H5:H76,"Alentejo",BASE!G5:G76)</f>
        <v>450</v>
      </c>
    </row>
    <row r="28" customFormat="false" ht="19.5" hidden="false" customHeight="true" outlineLevel="0" collapsed="false">
      <c r="A28" s="20" t="s">
        <v>49</v>
      </c>
      <c r="B28" s="27" t="n">
        <f aca="false">COUNTIF(BASE!H5:H76,"Algarve")</f>
        <v>14</v>
      </c>
      <c r="C28" s="25" t="n">
        <f aca="false">SUMIF(BASE!H5:H76,"Algarve",BASE!G5:G76)</f>
        <v>12635</v>
      </c>
      <c r="D28" s="25" t="n">
        <f aca="false">AVERAGEIF(BASE!H5:H76,"Algarve",BASE!G5:G76)</f>
        <v>902.5</v>
      </c>
    </row>
    <row r="29" customFormat="false" ht="19.5" hidden="false" customHeight="true" outlineLevel="0" collapsed="false">
      <c r="A29" s="14" t="s">
        <v>54</v>
      </c>
      <c r="B29" s="29"/>
      <c r="C29" s="29"/>
      <c r="D29" s="29"/>
    </row>
  </sheetData>
  <mergeCells count="5">
    <mergeCell ref="A1:F1"/>
    <mergeCell ref="A2:F2"/>
    <mergeCell ref="A4:D4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10" t="s">
        <v>158</v>
      </c>
      <c r="B1" s="10"/>
      <c r="C1" s="10"/>
      <c r="D1" s="10"/>
      <c r="E1" s="10"/>
      <c r="F1" s="10"/>
      <c r="G1" s="10"/>
      <c r="H1" s="10"/>
    </row>
    <row r="2" customFormat="false" ht="18" hidden="false" customHeight="true" outlineLevel="0" collapsed="false">
      <c r="A2" s="11" t="s">
        <v>159</v>
      </c>
      <c r="B2" s="11"/>
      <c r="C2" s="11"/>
      <c r="D2" s="11"/>
      <c r="E2" s="11"/>
      <c r="F2" s="11"/>
      <c r="G2" s="11"/>
      <c r="H2" s="11"/>
    </row>
    <row r="4" customFormat="false" ht="21.75" hidden="false" customHeight="true" outlineLevel="0" collapsed="false">
      <c r="A4" s="30" t="s">
        <v>160</v>
      </c>
      <c r="B4" s="30"/>
      <c r="C4" s="30"/>
      <c r="D4" s="30"/>
      <c r="E4" s="30"/>
      <c r="F4" s="30"/>
      <c r="G4" s="30"/>
      <c r="H4" s="30"/>
    </row>
    <row r="5" customFormat="false" ht="19.5" hidden="false" customHeight="true" outlineLevel="0" collapsed="false">
      <c r="A5" s="31" t="s">
        <v>161</v>
      </c>
      <c r="B5" s="31"/>
      <c r="C5" s="31"/>
      <c r="D5" s="31"/>
      <c r="E5" s="31"/>
      <c r="F5" s="31"/>
      <c r="G5" s="31"/>
      <c r="H5" s="31"/>
    </row>
    <row r="6" customFormat="false" ht="19.5" hidden="false" customHeight="true" outlineLevel="0" collapsed="false">
      <c r="A6" s="31"/>
      <c r="B6" s="31"/>
      <c r="C6" s="31"/>
      <c r="D6" s="31"/>
      <c r="E6" s="31"/>
      <c r="F6" s="31"/>
      <c r="G6" s="31"/>
      <c r="H6" s="31"/>
    </row>
    <row r="7" customFormat="false" ht="21.75" hidden="false" customHeight="true" outlineLevel="0" collapsed="false">
      <c r="A7" s="30" t="s">
        <v>162</v>
      </c>
      <c r="B7" s="30"/>
      <c r="C7" s="30"/>
      <c r="D7" s="30"/>
      <c r="E7" s="30"/>
      <c r="F7" s="30"/>
      <c r="G7" s="30"/>
      <c r="H7" s="30"/>
    </row>
    <row r="8" customFormat="false" ht="19.5" hidden="false" customHeight="true" outlineLevel="0" collapsed="false">
      <c r="A8" s="31" t="s">
        <v>161</v>
      </c>
      <c r="B8" s="31"/>
      <c r="C8" s="31"/>
      <c r="D8" s="31"/>
      <c r="E8" s="31"/>
      <c r="F8" s="31"/>
      <c r="G8" s="31"/>
      <c r="H8" s="31"/>
    </row>
    <row r="9" customFormat="false" ht="19.5" hidden="false" customHeight="true" outlineLevel="0" collapsed="false">
      <c r="A9" s="31"/>
      <c r="B9" s="31"/>
      <c r="C9" s="31"/>
      <c r="D9" s="31"/>
      <c r="E9" s="31"/>
      <c r="F9" s="31"/>
      <c r="G9" s="31"/>
      <c r="H9" s="31"/>
    </row>
    <row r="10" customFormat="false" ht="21.75" hidden="false" customHeight="true" outlineLevel="0" collapsed="false">
      <c r="A10" s="30" t="s">
        <v>163</v>
      </c>
      <c r="B10" s="30"/>
      <c r="C10" s="30"/>
      <c r="D10" s="30"/>
      <c r="E10" s="30"/>
      <c r="F10" s="30"/>
      <c r="G10" s="30"/>
      <c r="H10" s="30"/>
    </row>
    <row r="11" customFormat="false" ht="19.5" hidden="false" customHeight="true" outlineLevel="0" collapsed="false">
      <c r="A11" s="31" t="s">
        <v>161</v>
      </c>
      <c r="B11" s="31"/>
      <c r="C11" s="31"/>
      <c r="D11" s="31"/>
      <c r="E11" s="31"/>
      <c r="F11" s="31"/>
      <c r="G11" s="31"/>
      <c r="H11" s="31"/>
    </row>
    <row r="12" customFormat="false" ht="19.5" hidden="false" customHeight="true" outlineLevel="0" collapsed="false">
      <c r="A12" s="31"/>
      <c r="B12" s="31"/>
      <c r="C12" s="31"/>
      <c r="D12" s="31"/>
      <c r="E12" s="31"/>
      <c r="F12" s="31"/>
      <c r="G12" s="31"/>
      <c r="H12" s="31"/>
    </row>
  </sheetData>
  <mergeCells count="8">
    <mergeCell ref="A1:H1"/>
    <mergeCell ref="A2:H2"/>
    <mergeCell ref="A4:H4"/>
    <mergeCell ref="A5:H6"/>
    <mergeCell ref="A7:H7"/>
    <mergeCell ref="A8:H9"/>
    <mergeCell ref="A10:H10"/>
    <mergeCell ref="A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5"/>
  </cols>
  <sheetData>
    <row r="1" customFormat="false" ht="25.5" hidden="false" customHeight="true" outlineLevel="0" collapsed="false">
      <c r="A1" s="10" t="s">
        <v>164</v>
      </c>
      <c r="B1" s="10"/>
      <c r="C1" s="10"/>
      <c r="D1" s="10"/>
    </row>
    <row r="2" customFormat="false" ht="18" hidden="false" customHeight="true" outlineLevel="0" collapsed="false">
      <c r="A2" s="11" t="s">
        <v>165</v>
      </c>
      <c r="B2" s="11"/>
      <c r="C2" s="11"/>
      <c r="D2" s="11"/>
    </row>
    <row r="4" customFormat="false" ht="21.75" hidden="false" customHeight="true" outlineLevel="0" collapsed="false">
      <c r="A4" s="4" t="s">
        <v>166</v>
      </c>
      <c r="B4" s="4" t="s">
        <v>167</v>
      </c>
      <c r="C4" s="4" t="s">
        <v>5</v>
      </c>
      <c r="D4" s="4" t="s">
        <v>168</v>
      </c>
    </row>
    <row r="5" customFormat="false" ht="24" hidden="false" customHeight="true" outlineLevel="0" collapsed="false">
      <c r="A5" s="8" t="s">
        <v>169</v>
      </c>
      <c r="B5" s="32" t="s">
        <v>170</v>
      </c>
      <c r="C5" s="7" t="s">
        <v>8</v>
      </c>
      <c r="D5" s="29"/>
    </row>
    <row r="6" customFormat="false" ht="24" hidden="false" customHeight="true" outlineLevel="0" collapsed="false">
      <c r="A6" s="6" t="s">
        <v>171</v>
      </c>
      <c r="B6" s="33" t="s">
        <v>170</v>
      </c>
      <c r="C6" s="5" t="s">
        <v>8</v>
      </c>
      <c r="D6" s="29"/>
    </row>
    <row r="7" customFormat="false" ht="24" hidden="false" customHeight="true" outlineLevel="0" collapsed="false">
      <c r="A7" s="8" t="s">
        <v>172</v>
      </c>
      <c r="B7" s="32" t="s">
        <v>170</v>
      </c>
      <c r="C7" s="7" t="s">
        <v>8</v>
      </c>
      <c r="D7" s="29"/>
    </row>
    <row r="8" customFormat="false" ht="24" hidden="false" customHeight="true" outlineLevel="0" collapsed="false">
      <c r="A8" s="6" t="s">
        <v>173</v>
      </c>
      <c r="B8" s="33" t="s">
        <v>170</v>
      </c>
      <c r="C8" s="5" t="s">
        <v>11</v>
      </c>
      <c r="D8" s="29"/>
    </row>
    <row r="9" customFormat="false" ht="24" hidden="false" customHeight="true" outlineLevel="0" collapsed="false">
      <c r="A9" s="8" t="s">
        <v>174</v>
      </c>
      <c r="B9" s="32" t="s">
        <v>170</v>
      </c>
      <c r="C9" s="7" t="s">
        <v>14</v>
      </c>
      <c r="D9" s="29"/>
    </row>
    <row r="10" customFormat="false" ht="24" hidden="false" customHeight="true" outlineLevel="0" collapsed="false">
      <c r="A10" s="6" t="s">
        <v>175</v>
      </c>
      <c r="B10" s="33" t="s">
        <v>170</v>
      </c>
      <c r="C10" s="5" t="s">
        <v>17</v>
      </c>
      <c r="D10" s="29"/>
    </row>
    <row r="11" customFormat="false" ht="24" hidden="false" customHeight="true" outlineLevel="0" collapsed="false">
      <c r="A11" s="8" t="s">
        <v>176</v>
      </c>
      <c r="B11" s="32" t="s">
        <v>170</v>
      </c>
      <c r="C11" s="7" t="s">
        <v>17</v>
      </c>
      <c r="D11" s="29"/>
    </row>
    <row r="12" customFormat="false" ht="24" hidden="false" customHeight="true" outlineLevel="0" collapsed="false">
      <c r="A12" s="6" t="s">
        <v>177</v>
      </c>
      <c r="B12" s="33" t="s">
        <v>170</v>
      </c>
      <c r="C12" s="5" t="s">
        <v>178</v>
      </c>
      <c r="D12" s="29"/>
    </row>
    <row r="13" customFormat="false" ht="24" hidden="false" customHeight="true" outlineLevel="0" collapsed="false">
      <c r="A13" s="8" t="s">
        <v>179</v>
      </c>
      <c r="B13" s="32" t="s">
        <v>170</v>
      </c>
      <c r="C13" s="7" t="s">
        <v>178</v>
      </c>
      <c r="D13" s="29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2026-09-02T16:57:29Z</dcterms:created>
  <dc:creator>openpyxl</dc:creator>
  <dc:description/>
  <dc:language>en-US</dc:language>
  <cp:lastModifiedBy/>
  <dcterms:modified xsi:type="dcterms:W3CDTF">2026-09-02T16:57:30Z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