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BASE" sheetId="2" state="visible" r:id="rId4"/>
    <sheet name="CÁLCULOS" sheetId="3" state="visible" r:id="rId5"/>
    <sheet name="ESTATÍSTICA" sheetId="4" state="visible" r:id="rId6"/>
    <sheet name="ANÁLISE" sheetId="5" state="visible" r:id="rId7"/>
    <sheet name="VERIFICAÇÃ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<sst xmlns="http://schemas.openxmlformats.org/spreadsheetml/2006/main" count="500" uniqueCount="189">
  <si>
    <t xml:space="preserve">PROJETO FINAL — GESTÃO DE STOCK</t>
  </si>
  <si>
    <t xml:space="preserve">UFCD 0778 · Folha de cálculo · Projeto alternativo</t>
  </si>
  <si>
    <t xml:space="preserve">O armazém StockPro regista todos os movimentos de stock — entradas e saídas de produtos. A direção precisa de analisar os movimentos por categoria, tipo e armazém. Transforma este ficheiro numa ferramenta de análise profissional.</t>
  </si>
  <si>
    <t xml:space="preserve">Etapa</t>
  </si>
  <si>
    <t xml:space="preserve">Trabalho</t>
  </si>
  <si>
    <t xml:space="preserve">Folha</t>
  </si>
  <si>
    <t xml:space="preserve">1</t>
  </si>
  <si>
    <t xml:space="preserve">Completar a coluna Valor movimento com uma fórmula copiável. Confirmar tipos de dados e converter em tabela tbStock.</t>
  </si>
  <si>
    <t xml:space="preserve">BASE</t>
  </si>
  <si>
    <t xml:space="preserve">2</t>
  </si>
  <si>
    <t xml:space="preserve">Construir os indicadores com SOMA, MÉDIA, MÁXIMO, MÍNIMO e CONTAR.</t>
  </si>
  <si>
    <t xml:space="preserve">CÁLCULOS</t>
  </si>
  <si>
    <t xml:space="preserve">3</t>
  </si>
  <si>
    <t xml:space="preserve">Analisar os movimentos por categoria, tipo e armazém com SOMA.SE, MÉDIA.SE e CONTAR.SE.</t>
  </si>
  <si>
    <t xml:space="preserve">ESTATÍSTICA</t>
  </si>
  <si>
    <t xml:space="preserve">4</t>
  </si>
  <si>
    <t xml:space="preserve">Criar uma tabela dinâmica e um gráfico que respondam a uma questão concreta.</t>
  </si>
  <si>
    <t xml:space="preserve">ANÁLISE</t>
  </si>
  <si>
    <t xml:space="preserve">5</t>
  </si>
  <si>
    <t xml:space="preserve">Verificar o trabalho e confirmar que não existem erros.</t>
  </si>
  <si>
    <t xml:space="preserve">VERIFICAÇÃO</t>
  </si>
  <si>
    <t xml:space="preserve">Código de cores: amarelo = área a preencher  |  azul = orientação  |  verde = títulos</t>
  </si>
  <si>
    <t xml:space="preserve">BASE DE MOVIMENTOS DE STOCK — 2026</t>
  </si>
  <si>
    <t xml:space="preserve">72 movimentos · Complete a coluna Valor movimento com uma fórmula e converta em tabela tbStock</t>
  </si>
  <si>
    <t xml:space="preserve">ID</t>
  </si>
  <si>
    <t xml:space="preserve">Data</t>
  </si>
  <si>
    <t xml:space="preserve">Categoria</t>
  </si>
  <si>
    <t xml:space="preserve">Produto</t>
  </si>
  <si>
    <t xml:space="preserve">Tipo</t>
  </si>
  <si>
    <t xml:space="preserve">Quantidade</t>
  </si>
  <si>
    <t xml:space="preserve">Preço unitário</t>
  </si>
  <si>
    <t xml:space="preserve">Valor movimento</t>
  </si>
  <si>
    <t xml:space="preserve">Armazém</t>
  </si>
  <si>
    <t xml:space="preserve">M001</t>
  </si>
  <si>
    <t xml:space="preserve">Papelaria</t>
  </si>
  <si>
    <t xml:space="preserve">Resmas A4</t>
  </si>
  <si>
    <t xml:space="preserve">Entrada</t>
  </si>
  <si>
    <t xml:space="preserve">Norte</t>
  </si>
  <si>
    <t xml:space="preserve">M002</t>
  </si>
  <si>
    <t xml:space="preserve">Informática</t>
  </si>
  <si>
    <t xml:space="preserve">Teclado</t>
  </si>
  <si>
    <t xml:space="preserve">Saída</t>
  </si>
  <si>
    <t xml:space="preserve">Sul</t>
  </si>
  <si>
    <t xml:space="preserve">M003</t>
  </si>
  <si>
    <t xml:space="preserve">Limpeza</t>
  </si>
  <si>
    <t xml:space="preserve">Sacos lixo</t>
  </si>
  <si>
    <t xml:space="preserve">Centro</t>
  </si>
  <si>
    <t xml:space="preserve">M004</t>
  </si>
  <si>
    <t xml:space="preserve">Mobiliário</t>
  </si>
  <si>
    <t xml:space="preserve">Cadeira</t>
  </si>
  <si>
    <t xml:space="preserve">M005</t>
  </si>
  <si>
    <t xml:space="preserve">Escritório</t>
  </si>
  <si>
    <t xml:space="preserve">Dossiers</t>
  </si>
  <si>
    <t xml:space="preserve">M006</t>
  </si>
  <si>
    <t xml:space="preserve">Cadernos</t>
  </si>
  <si>
    <t xml:space="preserve">M007</t>
  </si>
  <si>
    <t xml:space="preserve">Rato USB</t>
  </si>
  <si>
    <t xml:space="preserve">M008</t>
  </si>
  <si>
    <t xml:space="preserve">Papel higiene</t>
  </si>
  <si>
    <t xml:space="preserve">M009</t>
  </si>
  <si>
    <t xml:space="preserve">Estante</t>
  </si>
  <si>
    <t xml:space="preserve">M010</t>
  </si>
  <si>
    <t xml:space="preserve">Agrafador</t>
  </si>
  <si>
    <t xml:space="preserve">M011</t>
  </si>
  <si>
    <t xml:space="preserve">Canetas</t>
  </si>
  <si>
    <t xml:space="preserve">M012</t>
  </si>
  <si>
    <t xml:space="preserve">Pen USB</t>
  </si>
  <si>
    <t xml:space="preserve">M013</t>
  </si>
  <si>
    <t xml:space="preserve">Detergente</t>
  </si>
  <si>
    <t xml:space="preserve">M014</t>
  </si>
  <si>
    <t xml:space="preserve">Mesa</t>
  </si>
  <si>
    <t xml:space="preserve">M015</t>
  </si>
  <si>
    <t xml:space="preserve">Clips</t>
  </si>
  <si>
    <t xml:space="preserve">M016</t>
  </si>
  <si>
    <t xml:space="preserve">M017</t>
  </si>
  <si>
    <t xml:space="preserve">M018</t>
  </si>
  <si>
    <t xml:space="preserve">M019</t>
  </si>
  <si>
    <t xml:space="preserve">M020</t>
  </si>
  <si>
    <t xml:space="preserve">M021</t>
  </si>
  <si>
    <t xml:space="preserve">M022</t>
  </si>
  <si>
    <t xml:space="preserve">M023</t>
  </si>
  <si>
    <t xml:space="preserve">M024</t>
  </si>
  <si>
    <t xml:space="preserve">M025</t>
  </si>
  <si>
    <t xml:space="preserve">M026</t>
  </si>
  <si>
    <t xml:space="preserve">M027</t>
  </si>
  <si>
    <t xml:space="preserve">M028</t>
  </si>
  <si>
    <t xml:space="preserve">M029</t>
  </si>
  <si>
    <t xml:space="preserve">M030</t>
  </si>
  <si>
    <t xml:space="preserve">M031</t>
  </si>
  <si>
    <t xml:space="preserve">M032</t>
  </si>
  <si>
    <t xml:space="preserve">M033</t>
  </si>
  <si>
    <t xml:space="preserve">M034</t>
  </si>
  <si>
    <t xml:space="preserve">M035</t>
  </si>
  <si>
    <t xml:space="preserve">M036</t>
  </si>
  <si>
    <t xml:space="preserve">M037</t>
  </si>
  <si>
    <t xml:space="preserve">M038</t>
  </si>
  <si>
    <t xml:space="preserve">M039</t>
  </si>
  <si>
    <t xml:space="preserve">M040</t>
  </si>
  <si>
    <t xml:space="preserve">M041</t>
  </si>
  <si>
    <t xml:space="preserve">M042</t>
  </si>
  <si>
    <t xml:space="preserve">M043</t>
  </si>
  <si>
    <t xml:space="preserve">M044</t>
  </si>
  <si>
    <t xml:space="preserve">M045</t>
  </si>
  <si>
    <t xml:space="preserve">M046</t>
  </si>
  <si>
    <t xml:space="preserve">M047</t>
  </si>
  <si>
    <t xml:space="preserve">M048</t>
  </si>
  <si>
    <t xml:space="preserve">M049</t>
  </si>
  <si>
    <t xml:space="preserve">M050</t>
  </si>
  <si>
    <t xml:space="preserve">M051</t>
  </si>
  <si>
    <t xml:space="preserve">M052</t>
  </si>
  <si>
    <t xml:space="preserve">M053</t>
  </si>
  <si>
    <t xml:space="preserve">M054</t>
  </si>
  <si>
    <t xml:space="preserve">M055</t>
  </si>
  <si>
    <t xml:space="preserve">M056</t>
  </si>
  <si>
    <t xml:space="preserve">M057</t>
  </si>
  <si>
    <t xml:space="preserve">M058</t>
  </si>
  <si>
    <t xml:space="preserve">M059</t>
  </si>
  <si>
    <t xml:space="preserve">M060</t>
  </si>
  <si>
    <t xml:space="preserve">M061</t>
  </si>
  <si>
    <t xml:space="preserve">M062</t>
  </si>
  <si>
    <t xml:space="preserve">M063</t>
  </si>
  <si>
    <t xml:space="preserve">M064</t>
  </si>
  <si>
    <t xml:space="preserve">M065</t>
  </si>
  <si>
    <t xml:space="preserve">M066</t>
  </si>
  <si>
    <t xml:space="preserve">M067</t>
  </si>
  <si>
    <t xml:space="preserve">M068</t>
  </si>
  <si>
    <t xml:space="preserve">M069</t>
  </si>
  <si>
    <t xml:space="preserve">M070</t>
  </si>
  <si>
    <t xml:space="preserve">M071</t>
  </si>
  <si>
    <t xml:space="preserve">M072</t>
  </si>
  <si>
    <t xml:space="preserve">CÁLCULOS E INDICADORES</t>
  </si>
  <si>
    <t xml:space="preserve">Constrói as fórmulas nas células amarelas. Usa funções ligadas à tabela tbStock.</t>
  </si>
  <si>
    <t xml:space="preserve">Indicador</t>
  </si>
  <si>
    <t xml:space="preserve">Função</t>
  </si>
  <si>
    <t xml:space="preserve">Intervalo</t>
  </si>
  <si>
    <t xml:space="preserve">Resultado</t>
  </si>
  <si>
    <t xml:space="preserve">Interpretação</t>
  </si>
  <si>
    <t xml:space="preserve">Valor total de todos os movimentos</t>
  </si>
  <si>
    <t xml:space="preserve">SOMA</t>
  </si>
  <si>
    <t xml:space="preserve">Valor total de todos os movimentos registados</t>
  </si>
  <si>
    <t xml:space="preserve">Valor médio por movimento</t>
  </si>
  <si>
    <t xml:space="preserve">MÉDIA</t>
  </si>
  <si>
    <t xml:space="preserve">Movimento de maior valor</t>
  </si>
  <si>
    <t xml:space="preserve">MÁXIMO</t>
  </si>
  <si>
    <t xml:space="preserve">Movimento de menor valor</t>
  </si>
  <si>
    <t xml:space="preserve">MÍNIMO</t>
  </si>
  <si>
    <t xml:space="preserve">Número total de movimentos</t>
  </si>
  <si>
    <t xml:space="preserve">CONTAR ou CONTARA</t>
  </si>
  <si>
    <t xml:space="preserve">Total de movimentos registados</t>
  </si>
  <si>
    <t xml:space="preserve">Número de entradas</t>
  </si>
  <si>
    <t xml:space="preserve">CONTAR.SE</t>
  </si>
  <si>
    <t xml:space="preserve">Tipo = Entrada</t>
  </si>
  <si>
    <t xml:space="preserve">Movimentos de entrada no armazém</t>
  </si>
  <si>
    <t xml:space="preserve">Número de saídas</t>
  </si>
  <si>
    <t xml:space="preserve">Tipo = Saída</t>
  </si>
  <si>
    <t xml:space="preserve">Movimentos de saída do armazém</t>
  </si>
  <si>
    <t xml:space="preserve">Número de movimentos no armazém Norte</t>
  </si>
  <si>
    <t xml:space="preserve">Armazém = Norte</t>
  </si>
  <si>
    <t xml:space="preserve">Movimentos no armazém Norte</t>
  </si>
  <si>
    <t xml:space="preserve">ANÁLISE ESTATÍSTICA</t>
  </si>
  <si>
    <t xml:space="preserve">Usa SOMA.SE, MÉDIA.SE e CONTAR.SE para analisar os movimentos por categoria, tipo e armazém.</t>
  </si>
  <si>
    <t xml:space="preserve">Por Categoria</t>
  </si>
  <si>
    <t xml:space="preserve">N.º movimentos</t>
  </si>
  <si>
    <t xml:space="preserve">Valor total</t>
  </si>
  <si>
    <t xml:space="preserve">Valor médio</t>
  </si>
  <si>
    <t xml:space="preserve">Por Tipo de Movimento</t>
  </si>
  <si>
    <t xml:space="preserve">Por Armazém</t>
  </si>
  <si>
    <t xml:space="preserve">ANÁLISE DINÂMICA</t>
  </si>
  <si>
    <t xml:space="preserve">Cria uma tabela dinâmica a partir de tbStock e um gráfico que responda a uma questão concreta.</t>
  </si>
  <si>
    <t xml:space="preserve">QUESTÃO 1 — Que categoria tem maior valor total de movimentos?</t>
  </si>
  <si>
    <t xml:space="preserve">→ Cria aqui a tabela dinâmica e o gráfico correspondente</t>
  </si>
  <si>
    <t xml:space="preserve">QUESTÃO 2 — Como se distribuem as entradas e saídas por armazém?</t>
  </si>
  <si>
    <t xml:space="preserve">QUESTÃO 3 — Qual o produto com mais movimentos registados?</t>
  </si>
  <si>
    <t xml:space="preserve">VERIFICAÇÃO FINAL</t>
  </si>
  <si>
    <t xml:space="preserve">Confirma cada ponto antes de entregar o ficheiro.</t>
  </si>
  <si>
    <t xml:space="preserve">Elemento</t>
  </si>
  <si>
    <t xml:space="preserve">Concluído?</t>
  </si>
  <si>
    <t xml:space="preserve">Observações</t>
  </si>
  <si>
    <t xml:space="preserve">A coluna Valor movimento está preenchida com fórmula copiável</t>
  </si>
  <si>
    <t xml:space="preserve">✓</t>
  </si>
  <si>
    <t xml:space="preserve">O intervalo foi convertido na tabela tbStock</t>
  </si>
  <si>
    <t xml:space="preserve">Os tipos de dados estão corretos (datas, números, texto)</t>
  </si>
  <si>
    <t xml:space="preserve">Os 8 indicadores estão calculados com as funções corretas</t>
  </si>
  <si>
    <t xml:space="preserve">As tabelas por categoria, tipo e armazém estão preenchidas</t>
  </si>
  <si>
    <t xml:space="preserve">A tabela dinâmica foi criada a partir de tbStock</t>
  </si>
  <si>
    <t xml:space="preserve">O gráfico responde a uma questão concreta e tem título</t>
  </si>
  <si>
    <t xml:space="preserve">Não existem erros de fórmula no ficheiro</t>
  </si>
  <si>
    <t xml:space="preserve">Todas</t>
  </si>
  <si>
    <t xml:space="preserve">Os filtros estão limpos antes da entrega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</si>
</sst>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#,##0.00&quot; €&quot;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9C57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276221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i val="true"/>
      <sz val="10"/>
      <color rgb="FF9C5700"/>
      <name val="Calibri"/>
      <family val="0"/>
      <charset val="1"/>
    </font>
    <font>
      <b val="true"/>
      <sz val="12"/>
      <color rgb="FF27622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1F8"/>
      </patternFill>
    </fill>
    <fill>
      <patternFill patternType="solid">
        <fgColor rgb="FFEBF1F8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FEB9C"/>
      </patternFill>
    </fill>
    <fill>
      <patternFill patternType="solid">
        <fgColor rgb="FFD6E4F0"/>
        <bgColor rgb="FFEB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1F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6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</row>
    <row r="7" customFormat="false" ht="27.75" hidden="false" customHeight="true" outlineLevel="0" collapsed="false">
      <c r="A7" s="4" t="s">
        <v>3</v>
      </c>
      <c r="B7" s="4" t="s">
        <v>4</v>
      </c>
      <c r="C7" s="4" t="s">
        <v>5</v>
      </c>
    </row>
    <row r="8" customFormat="false" ht="27.75" hidden="false" customHeight="true" outlineLevel="0" collapsed="false">
      <c r="A8" s="5" t="s">
        <v>6</v>
      </c>
      <c r="B8" s="6" t="s">
        <v>7</v>
      </c>
      <c r="C8" s="5" t="s">
        <v>8</v>
      </c>
    </row>
    <row r="9" customFormat="false" ht="27.75" hidden="false" customHeight="true" outlineLevel="0" collapsed="false">
      <c r="A9" s="7" t="s">
        <v>9</v>
      </c>
      <c r="B9" s="8" t="s">
        <v>10</v>
      </c>
      <c r="C9" s="7" t="s">
        <v>11</v>
      </c>
    </row>
    <row r="10" customFormat="false" ht="27.75" hidden="false" customHeight="true" outlineLevel="0" collapsed="false">
      <c r="A10" s="5" t="s">
        <v>12</v>
      </c>
      <c r="B10" s="6" t="s">
        <v>13</v>
      </c>
      <c r="C10" s="5" t="s">
        <v>14</v>
      </c>
    </row>
    <row r="11" customFormat="false" ht="27.75" hidden="false" customHeight="true" outlineLevel="0" collapsed="false">
      <c r="A11" s="7" t="s">
        <v>15</v>
      </c>
      <c r="B11" s="8" t="s">
        <v>16</v>
      </c>
      <c r="C11" s="7" t="s">
        <v>17</v>
      </c>
    </row>
    <row r="12" customFormat="false" ht="27.75" hidden="false" customHeight="true" outlineLevel="0" collapsed="false">
      <c r="A12" s="5" t="s">
        <v>18</v>
      </c>
      <c r="B12" s="6" t="s">
        <v>19</v>
      </c>
      <c r="C12" s="5" t="s">
        <v>20</v>
      </c>
    </row>
    <row r="14" customFormat="false" ht="19.5" hidden="false" customHeight="true" outlineLevel="0" collapsed="false">
      <c r="A14" s="9" t="s">
        <v>21</v>
      </c>
      <c r="B14" s="9"/>
      <c r="C14" s="9"/>
      <c r="D14" s="9"/>
      <c r="E14" s="9"/>
      <c r="F14" s="9"/>
      <c r="G14" s="9"/>
      <c r="H14" s="9"/>
      <c r="I14" s="9"/>
    </row>
  </sheetData>
  <mergeCells count="4">
    <mergeCell ref="A1:I1"/>
    <mergeCell ref="A2:I2"/>
    <mergeCell ref="A4:I5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</cols>
  <sheetData>
    <row r="1" customFormat="false" ht="25.5" hidden="false" customHeight="true" outlineLevel="0" collapsed="false">
      <c r="A1" s="10" t="s">
        <v>22</v>
      </c>
      <c r="B1" s="10"/>
      <c r="C1" s="10"/>
      <c r="D1" s="10"/>
      <c r="E1" s="10"/>
      <c r="F1" s="10"/>
      <c r="G1" s="10"/>
      <c r="H1" s="10"/>
      <c r="I1" s="10"/>
    </row>
    <row r="2" customFormat="false" ht="18" hidden="false" customHeight="true" outlineLevel="0" collapsed="false">
      <c r="A2" s="11" t="s">
        <v>23</v>
      </c>
      <c r="B2" s="11"/>
      <c r="C2" s="11"/>
      <c r="D2" s="11"/>
      <c r="E2" s="11"/>
      <c r="F2" s="11"/>
      <c r="G2" s="11"/>
      <c r="H2" s="11"/>
      <c r="I2" s="11"/>
    </row>
    <row r="4" customFormat="false" ht="27.75" hidden="false" customHeight="true" outlineLevel="0" collapsed="false">
      <c r="A4" s="12" t="s">
        <v>24</v>
      </c>
      <c r="B4" s="12" t="s">
        <v>25</v>
      </c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12" t="s">
        <v>32</v>
      </c>
    </row>
    <row r="5" customFormat="false" ht="15.75" hidden="false" customHeight="true" outlineLevel="0" collapsed="false">
      <c r="A5" s="7" t="s">
        <v>33</v>
      </c>
      <c r="B5" s="13" t="n">
        <v>46023</v>
      </c>
      <c r="C5" s="14" t="s">
        <v>34</v>
      </c>
      <c r="D5" s="14" t="s">
        <v>35</v>
      </c>
      <c r="E5" s="15" t="s">
        <v>36</v>
      </c>
      <c r="F5" s="16" t="n">
        <v>5</v>
      </c>
      <c r="G5" s="17" t="n">
        <v>4.5</v>
      </c>
      <c r="H5" s="18" t="n">
        <f aca="false">F5*G5</f>
        <v>22.5</v>
      </c>
      <c r="I5" s="7" t="s">
        <v>37</v>
      </c>
    </row>
    <row r="6" customFormat="false" ht="15.75" hidden="false" customHeight="true" outlineLevel="0" collapsed="false">
      <c r="A6" s="5" t="s">
        <v>38</v>
      </c>
      <c r="B6" s="19" t="n">
        <v>46055</v>
      </c>
      <c r="C6" s="20" t="s">
        <v>39</v>
      </c>
      <c r="D6" s="20" t="s">
        <v>40</v>
      </c>
      <c r="E6" s="21" t="s">
        <v>41</v>
      </c>
      <c r="F6" s="22" t="n">
        <v>10</v>
      </c>
      <c r="G6" s="23" t="n">
        <v>18.9</v>
      </c>
      <c r="H6" s="18" t="n">
        <f aca="false">F6*G6</f>
        <v>189</v>
      </c>
      <c r="I6" s="5" t="s">
        <v>42</v>
      </c>
    </row>
    <row r="7" customFormat="false" ht="15.75" hidden="false" customHeight="true" outlineLevel="0" collapsed="false">
      <c r="A7" s="7" t="s">
        <v>43</v>
      </c>
      <c r="B7" s="13" t="n">
        <v>46084</v>
      </c>
      <c r="C7" s="14" t="s">
        <v>44</v>
      </c>
      <c r="D7" s="14" t="s">
        <v>45</v>
      </c>
      <c r="E7" s="15" t="s">
        <v>36</v>
      </c>
      <c r="F7" s="16" t="n">
        <v>15</v>
      </c>
      <c r="G7" s="17" t="n">
        <v>2.1</v>
      </c>
      <c r="H7" s="18" t="n">
        <f aca="false">F7*G7</f>
        <v>31.5</v>
      </c>
      <c r="I7" s="7" t="s">
        <v>46</v>
      </c>
    </row>
    <row r="8" customFormat="false" ht="15.75" hidden="false" customHeight="true" outlineLevel="0" collapsed="false">
      <c r="A8" s="5" t="s">
        <v>47</v>
      </c>
      <c r="B8" s="19" t="n">
        <v>46116</v>
      </c>
      <c r="C8" s="20" t="s">
        <v>48</v>
      </c>
      <c r="D8" s="20" t="s">
        <v>49</v>
      </c>
      <c r="E8" s="21" t="s">
        <v>41</v>
      </c>
      <c r="F8" s="22" t="n">
        <v>20</v>
      </c>
      <c r="G8" s="23" t="n">
        <v>89</v>
      </c>
      <c r="H8" s="18" t="n">
        <f aca="false">F8*G8</f>
        <v>1780</v>
      </c>
      <c r="I8" s="5" t="s">
        <v>37</v>
      </c>
    </row>
    <row r="9" customFormat="false" ht="15.75" hidden="false" customHeight="true" outlineLevel="0" collapsed="false">
      <c r="A9" s="7" t="s">
        <v>50</v>
      </c>
      <c r="B9" s="13" t="n">
        <v>46147</v>
      </c>
      <c r="C9" s="14" t="s">
        <v>51</v>
      </c>
      <c r="D9" s="14" t="s">
        <v>52</v>
      </c>
      <c r="E9" s="15" t="s">
        <v>36</v>
      </c>
      <c r="F9" s="16" t="n">
        <v>25</v>
      </c>
      <c r="G9" s="17" t="n">
        <v>2.1</v>
      </c>
      <c r="H9" s="18" t="n">
        <f aca="false">F9*G9</f>
        <v>52.5</v>
      </c>
      <c r="I9" s="7" t="s">
        <v>42</v>
      </c>
    </row>
    <row r="10" customFormat="false" ht="15.75" hidden="false" customHeight="true" outlineLevel="0" collapsed="false">
      <c r="A10" s="5" t="s">
        <v>53</v>
      </c>
      <c r="B10" s="19" t="n">
        <v>46179</v>
      </c>
      <c r="C10" s="20" t="s">
        <v>34</v>
      </c>
      <c r="D10" s="20" t="s">
        <v>54</v>
      </c>
      <c r="E10" s="21" t="s">
        <v>41</v>
      </c>
      <c r="F10" s="22" t="n">
        <v>30</v>
      </c>
      <c r="G10" s="23" t="n">
        <v>2.8</v>
      </c>
      <c r="H10" s="18" t="n">
        <f aca="false">F10*G10</f>
        <v>84</v>
      </c>
      <c r="I10" s="5" t="s">
        <v>46</v>
      </c>
    </row>
    <row r="11" customFormat="false" ht="15.75" hidden="false" customHeight="true" outlineLevel="0" collapsed="false">
      <c r="A11" s="7" t="s">
        <v>55</v>
      </c>
      <c r="B11" s="13" t="n">
        <v>46029</v>
      </c>
      <c r="C11" s="14" t="s">
        <v>39</v>
      </c>
      <c r="D11" s="14" t="s">
        <v>56</v>
      </c>
      <c r="E11" s="15" t="s">
        <v>36</v>
      </c>
      <c r="F11" s="16" t="n">
        <v>8</v>
      </c>
      <c r="G11" s="17" t="n">
        <v>12.5</v>
      </c>
      <c r="H11" s="18" t="n">
        <f aca="false">F11*G11</f>
        <v>100</v>
      </c>
      <c r="I11" s="7" t="s">
        <v>37</v>
      </c>
    </row>
    <row r="12" customFormat="false" ht="15.75" hidden="false" customHeight="true" outlineLevel="0" collapsed="false">
      <c r="A12" s="5" t="s">
        <v>57</v>
      </c>
      <c r="B12" s="19" t="n">
        <v>46061</v>
      </c>
      <c r="C12" s="20" t="s">
        <v>44</v>
      </c>
      <c r="D12" s="20" t="s">
        <v>58</v>
      </c>
      <c r="E12" s="21" t="s">
        <v>41</v>
      </c>
      <c r="F12" s="22" t="n">
        <v>12</v>
      </c>
      <c r="G12" s="23" t="n">
        <v>5.6</v>
      </c>
      <c r="H12" s="18" t="n">
        <f aca="false">F12*G12</f>
        <v>67.2</v>
      </c>
      <c r="I12" s="5" t="s">
        <v>42</v>
      </c>
    </row>
    <row r="13" customFormat="false" ht="15.75" hidden="false" customHeight="true" outlineLevel="0" collapsed="false">
      <c r="A13" s="7" t="s">
        <v>59</v>
      </c>
      <c r="B13" s="13" t="n">
        <v>46090</v>
      </c>
      <c r="C13" s="14" t="s">
        <v>48</v>
      </c>
      <c r="D13" s="14" t="s">
        <v>60</v>
      </c>
      <c r="E13" s="15" t="s">
        <v>36</v>
      </c>
      <c r="F13" s="16" t="n">
        <v>3</v>
      </c>
      <c r="G13" s="17" t="n">
        <v>65</v>
      </c>
      <c r="H13" s="18" t="n">
        <f aca="false">F13*G13</f>
        <v>195</v>
      </c>
      <c r="I13" s="7" t="s">
        <v>46</v>
      </c>
    </row>
    <row r="14" customFormat="false" ht="15.75" hidden="false" customHeight="true" outlineLevel="0" collapsed="false">
      <c r="A14" s="5" t="s">
        <v>61</v>
      </c>
      <c r="B14" s="19" t="n">
        <v>46122</v>
      </c>
      <c r="C14" s="20" t="s">
        <v>51</v>
      </c>
      <c r="D14" s="20" t="s">
        <v>62</v>
      </c>
      <c r="E14" s="21" t="s">
        <v>41</v>
      </c>
      <c r="F14" s="22" t="n">
        <v>18</v>
      </c>
      <c r="G14" s="23" t="n">
        <v>6.5</v>
      </c>
      <c r="H14" s="18" t="n">
        <f aca="false">F14*G14</f>
        <v>117</v>
      </c>
      <c r="I14" s="5" t="s">
        <v>37</v>
      </c>
    </row>
    <row r="15" customFormat="false" ht="15.75" hidden="false" customHeight="true" outlineLevel="0" collapsed="false">
      <c r="A15" s="7" t="s">
        <v>63</v>
      </c>
      <c r="B15" s="13" t="n">
        <v>46153</v>
      </c>
      <c r="C15" s="14" t="s">
        <v>34</v>
      </c>
      <c r="D15" s="14" t="s">
        <v>64</v>
      </c>
      <c r="E15" s="15" t="s">
        <v>36</v>
      </c>
      <c r="F15" s="16" t="n">
        <v>5</v>
      </c>
      <c r="G15" s="17" t="n">
        <v>1.2</v>
      </c>
      <c r="H15" s="18" t="n">
        <f aca="false">F15*G15</f>
        <v>6</v>
      </c>
      <c r="I15" s="7" t="s">
        <v>42</v>
      </c>
    </row>
    <row r="16" customFormat="false" ht="15.75" hidden="false" customHeight="true" outlineLevel="0" collapsed="false">
      <c r="A16" s="5" t="s">
        <v>65</v>
      </c>
      <c r="B16" s="19" t="n">
        <v>46185</v>
      </c>
      <c r="C16" s="20" t="s">
        <v>39</v>
      </c>
      <c r="D16" s="20" t="s">
        <v>66</v>
      </c>
      <c r="E16" s="21" t="s">
        <v>41</v>
      </c>
      <c r="F16" s="22" t="n">
        <v>10</v>
      </c>
      <c r="G16" s="23" t="n">
        <v>8.5</v>
      </c>
      <c r="H16" s="18" t="n">
        <f aca="false">F16*G16</f>
        <v>85</v>
      </c>
      <c r="I16" s="5" t="s">
        <v>46</v>
      </c>
    </row>
    <row r="17" customFormat="false" ht="15.75" hidden="false" customHeight="true" outlineLevel="0" collapsed="false">
      <c r="A17" s="7" t="s">
        <v>67</v>
      </c>
      <c r="B17" s="13" t="n">
        <v>46035</v>
      </c>
      <c r="C17" s="14" t="s">
        <v>44</v>
      </c>
      <c r="D17" s="14" t="s">
        <v>68</v>
      </c>
      <c r="E17" s="15" t="s">
        <v>36</v>
      </c>
      <c r="F17" s="16" t="n">
        <v>15</v>
      </c>
      <c r="G17" s="17" t="n">
        <v>3.2</v>
      </c>
      <c r="H17" s="18" t="n">
        <f aca="false">F17*G17</f>
        <v>48</v>
      </c>
      <c r="I17" s="7" t="s">
        <v>37</v>
      </c>
    </row>
    <row r="18" customFormat="false" ht="15.75" hidden="false" customHeight="true" outlineLevel="0" collapsed="false">
      <c r="A18" s="5" t="s">
        <v>69</v>
      </c>
      <c r="B18" s="19" t="n">
        <v>46067</v>
      </c>
      <c r="C18" s="20" t="s">
        <v>48</v>
      </c>
      <c r="D18" s="20" t="s">
        <v>70</v>
      </c>
      <c r="E18" s="21" t="s">
        <v>41</v>
      </c>
      <c r="F18" s="22" t="n">
        <v>20</v>
      </c>
      <c r="G18" s="23" t="n">
        <v>145</v>
      </c>
      <c r="H18" s="18" t="n">
        <f aca="false">F18*G18</f>
        <v>2900</v>
      </c>
      <c r="I18" s="5" t="s">
        <v>42</v>
      </c>
    </row>
    <row r="19" customFormat="false" ht="15.75" hidden="false" customHeight="true" outlineLevel="0" collapsed="false">
      <c r="A19" s="7" t="s">
        <v>71</v>
      </c>
      <c r="B19" s="13" t="n">
        <v>46096</v>
      </c>
      <c r="C19" s="14" t="s">
        <v>51</v>
      </c>
      <c r="D19" s="14" t="s">
        <v>72</v>
      </c>
      <c r="E19" s="15" t="s">
        <v>36</v>
      </c>
      <c r="F19" s="16" t="n">
        <v>25</v>
      </c>
      <c r="G19" s="17" t="n">
        <v>1.5</v>
      </c>
      <c r="H19" s="18" t="n">
        <f aca="false">F19*G19</f>
        <v>37.5</v>
      </c>
      <c r="I19" s="7" t="s">
        <v>46</v>
      </c>
    </row>
    <row r="20" customFormat="false" ht="15.75" hidden="false" customHeight="true" outlineLevel="0" collapsed="false">
      <c r="A20" s="5" t="s">
        <v>73</v>
      </c>
      <c r="B20" s="19" t="n">
        <v>46128</v>
      </c>
      <c r="C20" s="20" t="s">
        <v>34</v>
      </c>
      <c r="D20" s="20" t="s">
        <v>35</v>
      </c>
      <c r="E20" s="21" t="s">
        <v>41</v>
      </c>
      <c r="F20" s="22" t="n">
        <v>30</v>
      </c>
      <c r="G20" s="23" t="n">
        <v>4.5</v>
      </c>
      <c r="H20" s="18" t="n">
        <f aca="false">F20*G20</f>
        <v>135</v>
      </c>
      <c r="I20" s="5" t="s">
        <v>37</v>
      </c>
    </row>
    <row r="21" customFormat="false" ht="15.75" hidden="false" customHeight="true" outlineLevel="0" collapsed="false">
      <c r="A21" s="7" t="s">
        <v>74</v>
      </c>
      <c r="B21" s="13" t="n">
        <v>46159</v>
      </c>
      <c r="C21" s="14" t="s">
        <v>39</v>
      </c>
      <c r="D21" s="14" t="s">
        <v>40</v>
      </c>
      <c r="E21" s="15" t="s">
        <v>36</v>
      </c>
      <c r="F21" s="16" t="n">
        <v>8</v>
      </c>
      <c r="G21" s="17" t="n">
        <v>18.9</v>
      </c>
      <c r="H21" s="18" t="n">
        <f aca="false">F21*G21</f>
        <v>151.2</v>
      </c>
      <c r="I21" s="7" t="s">
        <v>42</v>
      </c>
    </row>
    <row r="22" customFormat="false" ht="15.75" hidden="false" customHeight="true" outlineLevel="0" collapsed="false">
      <c r="A22" s="5" t="s">
        <v>75</v>
      </c>
      <c r="B22" s="19" t="n">
        <v>46191</v>
      </c>
      <c r="C22" s="20" t="s">
        <v>44</v>
      </c>
      <c r="D22" s="20" t="s">
        <v>45</v>
      </c>
      <c r="E22" s="21" t="s">
        <v>41</v>
      </c>
      <c r="F22" s="22" t="n">
        <v>12</v>
      </c>
      <c r="G22" s="23" t="n">
        <v>2.1</v>
      </c>
      <c r="H22" s="18" t="n">
        <f aca="false">F22*G22</f>
        <v>25.2</v>
      </c>
      <c r="I22" s="5" t="s">
        <v>46</v>
      </c>
    </row>
    <row r="23" customFormat="false" ht="15.75" hidden="false" customHeight="true" outlineLevel="0" collapsed="false">
      <c r="A23" s="7" t="s">
        <v>76</v>
      </c>
      <c r="B23" s="13" t="n">
        <v>46041</v>
      </c>
      <c r="C23" s="14" t="s">
        <v>48</v>
      </c>
      <c r="D23" s="14" t="s">
        <v>49</v>
      </c>
      <c r="E23" s="15" t="s">
        <v>36</v>
      </c>
      <c r="F23" s="16" t="n">
        <v>3</v>
      </c>
      <c r="G23" s="17" t="n">
        <v>89</v>
      </c>
      <c r="H23" s="18" t="n">
        <f aca="false">F23*G23</f>
        <v>267</v>
      </c>
      <c r="I23" s="7" t="s">
        <v>37</v>
      </c>
    </row>
    <row r="24" customFormat="false" ht="15.75" hidden="false" customHeight="true" outlineLevel="0" collapsed="false">
      <c r="A24" s="5" t="s">
        <v>77</v>
      </c>
      <c r="B24" s="19" t="n">
        <v>46073</v>
      </c>
      <c r="C24" s="20" t="s">
        <v>51</v>
      </c>
      <c r="D24" s="20" t="s">
        <v>52</v>
      </c>
      <c r="E24" s="21" t="s">
        <v>41</v>
      </c>
      <c r="F24" s="22" t="n">
        <v>18</v>
      </c>
      <c r="G24" s="23" t="n">
        <v>2.1</v>
      </c>
      <c r="H24" s="18" t="n">
        <f aca="false">F24*G24</f>
        <v>37.8</v>
      </c>
      <c r="I24" s="5" t="s">
        <v>42</v>
      </c>
    </row>
    <row r="25" customFormat="false" ht="15.75" hidden="false" customHeight="true" outlineLevel="0" collapsed="false">
      <c r="A25" s="7" t="s">
        <v>78</v>
      </c>
      <c r="B25" s="13" t="n">
        <v>46102</v>
      </c>
      <c r="C25" s="14" t="s">
        <v>34</v>
      </c>
      <c r="D25" s="14" t="s">
        <v>54</v>
      </c>
      <c r="E25" s="15" t="s">
        <v>36</v>
      </c>
      <c r="F25" s="16" t="n">
        <v>5</v>
      </c>
      <c r="G25" s="17" t="n">
        <v>2.8</v>
      </c>
      <c r="H25" s="18" t="n">
        <f aca="false">F25*G25</f>
        <v>14</v>
      </c>
      <c r="I25" s="7" t="s">
        <v>46</v>
      </c>
    </row>
    <row r="26" customFormat="false" ht="15.75" hidden="false" customHeight="true" outlineLevel="0" collapsed="false">
      <c r="A26" s="5" t="s">
        <v>79</v>
      </c>
      <c r="B26" s="19" t="n">
        <v>46134</v>
      </c>
      <c r="C26" s="20" t="s">
        <v>39</v>
      </c>
      <c r="D26" s="20" t="s">
        <v>56</v>
      </c>
      <c r="E26" s="21" t="s">
        <v>41</v>
      </c>
      <c r="F26" s="22" t="n">
        <v>10</v>
      </c>
      <c r="G26" s="23" t="n">
        <v>12.5</v>
      </c>
      <c r="H26" s="18" t="n">
        <f aca="false">F26*G26</f>
        <v>125</v>
      </c>
      <c r="I26" s="5" t="s">
        <v>37</v>
      </c>
    </row>
    <row r="27" customFormat="false" ht="15.75" hidden="false" customHeight="true" outlineLevel="0" collapsed="false">
      <c r="A27" s="7" t="s">
        <v>80</v>
      </c>
      <c r="B27" s="13" t="n">
        <v>46165</v>
      </c>
      <c r="C27" s="14" t="s">
        <v>44</v>
      </c>
      <c r="D27" s="14" t="s">
        <v>58</v>
      </c>
      <c r="E27" s="15" t="s">
        <v>36</v>
      </c>
      <c r="F27" s="16" t="n">
        <v>15</v>
      </c>
      <c r="G27" s="17" t="n">
        <v>5.6</v>
      </c>
      <c r="H27" s="18" t="n">
        <f aca="false">F27*G27</f>
        <v>84</v>
      </c>
      <c r="I27" s="7" t="s">
        <v>42</v>
      </c>
    </row>
    <row r="28" customFormat="false" ht="15.75" hidden="false" customHeight="true" outlineLevel="0" collapsed="false">
      <c r="A28" s="5" t="s">
        <v>81</v>
      </c>
      <c r="B28" s="19" t="n">
        <v>46197</v>
      </c>
      <c r="C28" s="20" t="s">
        <v>48</v>
      </c>
      <c r="D28" s="20" t="s">
        <v>60</v>
      </c>
      <c r="E28" s="21" t="s">
        <v>41</v>
      </c>
      <c r="F28" s="22" t="n">
        <v>20</v>
      </c>
      <c r="G28" s="23" t="n">
        <v>65</v>
      </c>
      <c r="H28" s="18" t="n">
        <f aca="false">F28*G28</f>
        <v>1300</v>
      </c>
      <c r="I28" s="5" t="s">
        <v>46</v>
      </c>
    </row>
    <row r="29" customFormat="false" ht="15.75" hidden="false" customHeight="true" outlineLevel="0" collapsed="false">
      <c r="A29" s="7" t="s">
        <v>82</v>
      </c>
      <c r="B29" s="13" t="n">
        <v>46047</v>
      </c>
      <c r="C29" s="14" t="s">
        <v>51</v>
      </c>
      <c r="D29" s="14" t="s">
        <v>62</v>
      </c>
      <c r="E29" s="15" t="s">
        <v>36</v>
      </c>
      <c r="F29" s="16" t="n">
        <v>25</v>
      </c>
      <c r="G29" s="17" t="n">
        <v>6.5</v>
      </c>
      <c r="H29" s="18" t="n">
        <f aca="false">F29*G29</f>
        <v>162.5</v>
      </c>
      <c r="I29" s="7" t="s">
        <v>37</v>
      </c>
    </row>
    <row r="30" customFormat="false" ht="15.75" hidden="false" customHeight="true" outlineLevel="0" collapsed="false">
      <c r="A30" s="5" t="s">
        <v>83</v>
      </c>
      <c r="B30" s="19" t="n">
        <v>46079</v>
      </c>
      <c r="C30" s="20" t="s">
        <v>34</v>
      </c>
      <c r="D30" s="20" t="s">
        <v>64</v>
      </c>
      <c r="E30" s="21" t="s">
        <v>41</v>
      </c>
      <c r="F30" s="22" t="n">
        <v>30</v>
      </c>
      <c r="G30" s="23" t="n">
        <v>1.2</v>
      </c>
      <c r="H30" s="18" t="n">
        <f aca="false">F30*G30</f>
        <v>36</v>
      </c>
      <c r="I30" s="5" t="s">
        <v>42</v>
      </c>
    </row>
    <row r="31" customFormat="false" ht="15.75" hidden="false" customHeight="true" outlineLevel="0" collapsed="false">
      <c r="A31" s="7" t="s">
        <v>84</v>
      </c>
      <c r="B31" s="13" t="n">
        <v>46108</v>
      </c>
      <c r="C31" s="14" t="s">
        <v>39</v>
      </c>
      <c r="D31" s="14" t="s">
        <v>66</v>
      </c>
      <c r="E31" s="15" t="s">
        <v>36</v>
      </c>
      <c r="F31" s="16" t="n">
        <v>8</v>
      </c>
      <c r="G31" s="17" t="n">
        <v>8.5</v>
      </c>
      <c r="H31" s="18" t="n">
        <f aca="false">F31*G31</f>
        <v>68</v>
      </c>
      <c r="I31" s="7" t="s">
        <v>46</v>
      </c>
    </row>
    <row r="32" customFormat="false" ht="15.75" hidden="false" customHeight="true" outlineLevel="0" collapsed="false">
      <c r="A32" s="5" t="s">
        <v>85</v>
      </c>
      <c r="B32" s="19" t="n">
        <v>46140</v>
      </c>
      <c r="C32" s="20" t="s">
        <v>44</v>
      </c>
      <c r="D32" s="20" t="s">
        <v>68</v>
      </c>
      <c r="E32" s="21" t="s">
        <v>41</v>
      </c>
      <c r="F32" s="22" t="n">
        <v>12</v>
      </c>
      <c r="G32" s="23" t="n">
        <v>3.2</v>
      </c>
      <c r="H32" s="18" t="n">
        <f aca="false">F32*G32</f>
        <v>38.4</v>
      </c>
      <c r="I32" s="5" t="s">
        <v>37</v>
      </c>
    </row>
    <row r="33" customFormat="false" ht="15.75" hidden="false" customHeight="true" outlineLevel="0" collapsed="false">
      <c r="A33" s="7" t="s">
        <v>86</v>
      </c>
      <c r="B33" s="13" t="n">
        <v>46143</v>
      </c>
      <c r="C33" s="14" t="s">
        <v>48</v>
      </c>
      <c r="D33" s="14" t="s">
        <v>70</v>
      </c>
      <c r="E33" s="15" t="s">
        <v>36</v>
      </c>
      <c r="F33" s="16" t="n">
        <v>3</v>
      </c>
      <c r="G33" s="17" t="n">
        <v>145</v>
      </c>
      <c r="H33" s="18" t="n">
        <f aca="false">F33*G33</f>
        <v>435</v>
      </c>
      <c r="I33" s="7" t="s">
        <v>42</v>
      </c>
    </row>
    <row r="34" customFormat="false" ht="15.75" hidden="false" customHeight="true" outlineLevel="0" collapsed="false">
      <c r="A34" s="5" t="s">
        <v>87</v>
      </c>
      <c r="B34" s="19" t="n">
        <v>46175</v>
      </c>
      <c r="C34" s="20" t="s">
        <v>51</v>
      </c>
      <c r="D34" s="20" t="s">
        <v>72</v>
      </c>
      <c r="E34" s="21" t="s">
        <v>41</v>
      </c>
      <c r="F34" s="22" t="n">
        <v>18</v>
      </c>
      <c r="G34" s="23" t="n">
        <v>1.5</v>
      </c>
      <c r="H34" s="18" t="n">
        <f aca="false">F34*G34</f>
        <v>27</v>
      </c>
      <c r="I34" s="5" t="s">
        <v>46</v>
      </c>
    </row>
    <row r="35" customFormat="false" ht="15.75" hidden="false" customHeight="true" outlineLevel="0" collapsed="false">
      <c r="A35" s="7" t="s">
        <v>88</v>
      </c>
      <c r="B35" s="13" t="n">
        <v>46025</v>
      </c>
      <c r="C35" s="14" t="s">
        <v>34</v>
      </c>
      <c r="D35" s="14" t="s">
        <v>35</v>
      </c>
      <c r="E35" s="15" t="s">
        <v>36</v>
      </c>
      <c r="F35" s="16" t="n">
        <v>5</v>
      </c>
      <c r="G35" s="17" t="n">
        <v>4.5</v>
      </c>
      <c r="H35" s="18" t="n">
        <f aca="false">F35*G35</f>
        <v>22.5</v>
      </c>
      <c r="I35" s="7" t="s">
        <v>37</v>
      </c>
    </row>
    <row r="36" customFormat="false" ht="15.75" hidden="false" customHeight="true" outlineLevel="0" collapsed="false">
      <c r="A36" s="5" t="s">
        <v>89</v>
      </c>
      <c r="B36" s="19" t="n">
        <v>46057</v>
      </c>
      <c r="C36" s="20" t="s">
        <v>39</v>
      </c>
      <c r="D36" s="20" t="s">
        <v>40</v>
      </c>
      <c r="E36" s="21" t="s">
        <v>41</v>
      </c>
      <c r="F36" s="22" t="n">
        <v>10</v>
      </c>
      <c r="G36" s="23" t="n">
        <v>18.9</v>
      </c>
      <c r="H36" s="18" t="n">
        <f aca="false">F36*G36</f>
        <v>189</v>
      </c>
      <c r="I36" s="5" t="s">
        <v>42</v>
      </c>
    </row>
    <row r="37" customFormat="false" ht="15.75" hidden="false" customHeight="true" outlineLevel="0" collapsed="false">
      <c r="A37" s="7" t="s">
        <v>90</v>
      </c>
      <c r="B37" s="13" t="n">
        <v>46086</v>
      </c>
      <c r="C37" s="14" t="s">
        <v>44</v>
      </c>
      <c r="D37" s="14" t="s">
        <v>45</v>
      </c>
      <c r="E37" s="15" t="s">
        <v>36</v>
      </c>
      <c r="F37" s="16" t="n">
        <v>15</v>
      </c>
      <c r="G37" s="17" t="n">
        <v>2.1</v>
      </c>
      <c r="H37" s="18" t="n">
        <f aca="false">F37*G37</f>
        <v>31.5</v>
      </c>
      <c r="I37" s="7" t="s">
        <v>46</v>
      </c>
    </row>
    <row r="38" customFormat="false" ht="15.75" hidden="false" customHeight="true" outlineLevel="0" collapsed="false">
      <c r="A38" s="5" t="s">
        <v>91</v>
      </c>
      <c r="B38" s="19" t="n">
        <v>46118</v>
      </c>
      <c r="C38" s="20" t="s">
        <v>48</v>
      </c>
      <c r="D38" s="20" t="s">
        <v>49</v>
      </c>
      <c r="E38" s="21" t="s">
        <v>41</v>
      </c>
      <c r="F38" s="22" t="n">
        <v>20</v>
      </c>
      <c r="G38" s="23" t="n">
        <v>89</v>
      </c>
      <c r="H38" s="18" t="n">
        <f aca="false">F38*G38</f>
        <v>1780</v>
      </c>
      <c r="I38" s="5" t="s">
        <v>37</v>
      </c>
    </row>
    <row r="39" customFormat="false" ht="15.75" hidden="false" customHeight="true" outlineLevel="0" collapsed="false">
      <c r="A39" s="7" t="s">
        <v>92</v>
      </c>
      <c r="B39" s="13" t="n">
        <v>46149</v>
      </c>
      <c r="C39" s="14" t="s">
        <v>51</v>
      </c>
      <c r="D39" s="14" t="s">
        <v>52</v>
      </c>
      <c r="E39" s="15" t="s">
        <v>36</v>
      </c>
      <c r="F39" s="16" t="n">
        <v>25</v>
      </c>
      <c r="G39" s="17" t="n">
        <v>2.1</v>
      </c>
      <c r="H39" s="18" t="n">
        <f aca="false">F39*G39</f>
        <v>52.5</v>
      </c>
      <c r="I39" s="7" t="s">
        <v>42</v>
      </c>
    </row>
    <row r="40" customFormat="false" ht="15.75" hidden="false" customHeight="true" outlineLevel="0" collapsed="false">
      <c r="A40" s="5" t="s">
        <v>93</v>
      </c>
      <c r="B40" s="19" t="n">
        <v>46181</v>
      </c>
      <c r="C40" s="20" t="s">
        <v>34</v>
      </c>
      <c r="D40" s="20" t="s">
        <v>54</v>
      </c>
      <c r="E40" s="21" t="s">
        <v>41</v>
      </c>
      <c r="F40" s="22" t="n">
        <v>30</v>
      </c>
      <c r="G40" s="23" t="n">
        <v>2.8</v>
      </c>
      <c r="H40" s="18" t="n">
        <f aca="false">F40*G40</f>
        <v>84</v>
      </c>
      <c r="I40" s="5" t="s">
        <v>46</v>
      </c>
    </row>
    <row r="41" customFormat="false" ht="15.75" hidden="false" customHeight="true" outlineLevel="0" collapsed="false">
      <c r="A41" s="7" t="s">
        <v>94</v>
      </c>
      <c r="B41" s="13" t="n">
        <v>46031</v>
      </c>
      <c r="C41" s="14" t="s">
        <v>39</v>
      </c>
      <c r="D41" s="14" t="s">
        <v>56</v>
      </c>
      <c r="E41" s="15" t="s">
        <v>36</v>
      </c>
      <c r="F41" s="16" t="n">
        <v>8</v>
      </c>
      <c r="G41" s="17" t="n">
        <v>12.5</v>
      </c>
      <c r="H41" s="18" t="n">
        <f aca="false">F41*G41</f>
        <v>100</v>
      </c>
      <c r="I41" s="7" t="s">
        <v>37</v>
      </c>
    </row>
    <row r="42" customFormat="false" ht="15.75" hidden="false" customHeight="true" outlineLevel="0" collapsed="false">
      <c r="A42" s="5" t="s">
        <v>95</v>
      </c>
      <c r="B42" s="19" t="n">
        <v>46063</v>
      </c>
      <c r="C42" s="20" t="s">
        <v>44</v>
      </c>
      <c r="D42" s="20" t="s">
        <v>58</v>
      </c>
      <c r="E42" s="21" t="s">
        <v>41</v>
      </c>
      <c r="F42" s="22" t="n">
        <v>12</v>
      </c>
      <c r="G42" s="23" t="n">
        <v>5.6</v>
      </c>
      <c r="H42" s="18" t="n">
        <f aca="false">F42*G42</f>
        <v>67.2</v>
      </c>
      <c r="I42" s="5" t="s">
        <v>42</v>
      </c>
    </row>
    <row r="43" customFormat="false" ht="15.75" hidden="false" customHeight="true" outlineLevel="0" collapsed="false">
      <c r="A43" s="7" t="s">
        <v>96</v>
      </c>
      <c r="B43" s="13" t="n">
        <v>46092</v>
      </c>
      <c r="C43" s="14" t="s">
        <v>48</v>
      </c>
      <c r="D43" s="14" t="s">
        <v>60</v>
      </c>
      <c r="E43" s="15" t="s">
        <v>36</v>
      </c>
      <c r="F43" s="16" t="n">
        <v>3</v>
      </c>
      <c r="G43" s="17" t="n">
        <v>65</v>
      </c>
      <c r="H43" s="18" t="n">
        <f aca="false">F43*G43</f>
        <v>195</v>
      </c>
      <c r="I43" s="7" t="s">
        <v>46</v>
      </c>
    </row>
    <row r="44" customFormat="false" ht="15.75" hidden="false" customHeight="true" outlineLevel="0" collapsed="false">
      <c r="A44" s="5" t="s">
        <v>97</v>
      </c>
      <c r="B44" s="19" t="n">
        <v>46124</v>
      </c>
      <c r="C44" s="20" t="s">
        <v>51</v>
      </c>
      <c r="D44" s="20" t="s">
        <v>62</v>
      </c>
      <c r="E44" s="21" t="s">
        <v>41</v>
      </c>
      <c r="F44" s="22" t="n">
        <v>18</v>
      </c>
      <c r="G44" s="23" t="n">
        <v>6.5</v>
      </c>
      <c r="H44" s="18" t="n">
        <f aca="false">F44*G44</f>
        <v>117</v>
      </c>
      <c r="I44" s="5" t="s">
        <v>37</v>
      </c>
    </row>
    <row r="45" customFormat="false" ht="15.75" hidden="false" customHeight="true" outlineLevel="0" collapsed="false">
      <c r="A45" s="7" t="s">
        <v>98</v>
      </c>
      <c r="B45" s="13" t="n">
        <v>46155</v>
      </c>
      <c r="C45" s="14" t="s">
        <v>34</v>
      </c>
      <c r="D45" s="14" t="s">
        <v>64</v>
      </c>
      <c r="E45" s="15" t="s">
        <v>36</v>
      </c>
      <c r="F45" s="16" t="n">
        <v>5</v>
      </c>
      <c r="G45" s="17" t="n">
        <v>1.2</v>
      </c>
      <c r="H45" s="18" t="n">
        <f aca="false">F45*G45</f>
        <v>6</v>
      </c>
      <c r="I45" s="7" t="s">
        <v>42</v>
      </c>
    </row>
    <row r="46" customFormat="false" ht="15.75" hidden="false" customHeight="true" outlineLevel="0" collapsed="false">
      <c r="A46" s="5" t="s">
        <v>99</v>
      </c>
      <c r="B46" s="19" t="n">
        <v>46187</v>
      </c>
      <c r="C46" s="20" t="s">
        <v>39</v>
      </c>
      <c r="D46" s="20" t="s">
        <v>66</v>
      </c>
      <c r="E46" s="21" t="s">
        <v>41</v>
      </c>
      <c r="F46" s="22" t="n">
        <v>10</v>
      </c>
      <c r="G46" s="23" t="n">
        <v>8.5</v>
      </c>
      <c r="H46" s="18" t="n">
        <f aca="false">F46*G46</f>
        <v>85</v>
      </c>
      <c r="I46" s="5" t="s">
        <v>46</v>
      </c>
    </row>
    <row r="47" customFormat="false" ht="15.75" hidden="false" customHeight="true" outlineLevel="0" collapsed="false">
      <c r="A47" s="7" t="s">
        <v>100</v>
      </c>
      <c r="B47" s="13" t="n">
        <v>46037</v>
      </c>
      <c r="C47" s="14" t="s">
        <v>44</v>
      </c>
      <c r="D47" s="14" t="s">
        <v>68</v>
      </c>
      <c r="E47" s="15" t="s">
        <v>36</v>
      </c>
      <c r="F47" s="16" t="n">
        <v>15</v>
      </c>
      <c r="G47" s="17" t="n">
        <v>3.2</v>
      </c>
      <c r="H47" s="18" t="n">
        <f aca="false">F47*G47</f>
        <v>48</v>
      </c>
      <c r="I47" s="7" t="s">
        <v>37</v>
      </c>
    </row>
    <row r="48" customFormat="false" ht="15.75" hidden="false" customHeight="true" outlineLevel="0" collapsed="false">
      <c r="A48" s="5" t="s">
        <v>101</v>
      </c>
      <c r="B48" s="19" t="n">
        <v>46069</v>
      </c>
      <c r="C48" s="20" t="s">
        <v>48</v>
      </c>
      <c r="D48" s="20" t="s">
        <v>70</v>
      </c>
      <c r="E48" s="21" t="s">
        <v>41</v>
      </c>
      <c r="F48" s="22" t="n">
        <v>20</v>
      </c>
      <c r="G48" s="23" t="n">
        <v>145</v>
      </c>
      <c r="H48" s="18" t="n">
        <f aca="false">F48*G48</f>
        <v>2900</v>
      </c>
      <c r="I48" s="5" t="s">
        <v>42</v>
      </c>
    </row>
    <row r="49" customFormat="false" ht="15.75" hidden="false" customHeight="true" outlineLevel="0" collapsed="false">
      <c r="A49" s="7" t="s">
        <v>102</v>
      </c>
      <c r="B49" s="13" t="n">
        <v>46098</v>
      </c>
      <c r="C49" s="14" t="s">
        <v>51</v>
      </c>
      <c r="D49" s="14" t="s">
        <v>72</v>
      </c>
      <c r="E49" s="15" t="s">
        <v>36</v>
      </c>
      <c r="F49" s="16" t="n">
        <v>25</v>
      </c>
      <c r="G49" s="17" t="n">
        <v>1.5</v>
      </c>
      <c r="H49" s="18" t="n">
        <f aca="false">F49*G49</f>
        <v>37.5</v>
      </c>
      <c r="I49" s="7" t="s">
        <v>46</v>
      </c>
    </row>
    <row r="50" customFormat="false" ht="15.75" hidden="false" customHeight="true" outlineLevel="0" collapsed="false">
      <c r="A50" s="5" t="s">
        <v>103</v>
      </c>
      <c r="B50" s="19" t="n">
        <v>46130</v>
      </c>
      <c r="C50" s="20" t="s">
        <v>34</v>
      </c>
      <c r="D50" s="20" t="s">
        <v>35</v>
      </c>
      <c r="E50" s="21" t="s">
        <v>41</v>
      </c>
      <c r="F50" s="22" t="n">
        <v>30</v>
      </c>
      <c r="G50" s="23" t="n">
        <v>4.5</v>
      </c>
      <c r="H50" s="18" t="n">
        <f aca="false">F50*G50</f>
        <v>135</v>
      </c>
      <c r="I50" s="5" t="s">
        <v>37</v>
      </c>
    </row>
    <row r="51" customFormat="false" ht="15.75" hidden="false" customHeight="true" outlineLevel="0" collapsed="false">
      <c r="A51" s="7" t="s">
        <v>104</v>
      </c>
      <c r="B51" s="13" t="n">
        <v>46161</v>
      </c>
      <c r="C51" s="14" t="s">
        <v>39</v>
      </c>
      <c r="D51" s="14" t="s">
        <v>40</v>
      </c>
      <c r="E51" s="15" t="s">
        <v>36</v>
      </c>
      <c r="F51" s="16" t="n">
        <v>8</v>
      </c>
      <c r="G51" s="17" t="n">
        <v>18.9</v>
      </c>
      <c r="H51" s="18" t="n">
        <f aca="false">F51*G51</f>
        <v>151.2</v>
      </c>
      <c r="I51" s="7" t="s">
        <v>42</v>
      </c>
    </row>
    <row r="52" customFormat="false" ht="15.75" hidden="false" customHeight="true" outlineLevel="0" collapsed="false">
      <c r="A52" s="5" t="s">
        <v>105</v>
      </c>
      <c r="B52" s="19" t="n">
        <v>46193</v>
      </c>
      <c r="C52" s="20" t="s">
        <v>44</v>
      </c>
      <c r="D52" s="20" t="s">
        <v>45</v>
      </c>
      <c r="E52" s="21" t="s">
        <v>41</v>
      </c>
      <c r="F52" s="22" t="n">
        <v>12</v>
      </c>
      <c r="G52" s="23" t="n">
        <v>2.1</v>
      </c>
      <c r="H52" s="18" t="n">
        <f aca="false">F52*G52</f>
        <v>25.2</v>
      </c>
      <c r="I52" s="5" t="s">
        <v>46</v>
      </c>
    </row>
    <row r="53" customFormat="false" ht="15.75" hidden="false" customHeight="true" outlineLevel="0" collapsed="false">
      <c r="A53" s="7" t="s">
        <v>106</v>
      </c>
      <c r="B53" s="13" t="n">
        <v>46043</v>
      </c>
      <c r="C53" s="14" t="s">
        <v>48</v>
      </c>
      <c r="D53" s="14" t="s">
        <v>49</v>
      </c>
      <c r="E53" s="15" t="s">
        <v>36</v>
      </c>
      <c r="F53" s="16" t="n">
        <v>3</v>
      </c>
      <c r="G53" s="17" t="n">
        <v>89</v>
      </c>
      <c r="H53" s="18" t="n">
        <f aca="false">F53*G53</f>
        <v>267</v>
      </c>
      <c r="I53" s="7" t="s">
        <v>37</v>
      </c>
    </row>
    <row r="54" customFormat="false" ht="15.75" hidden="false" customHeight="true" outlineLevel="0" collapsed="false">
      <c r="A54" s="5" t="s">
        <v>107</v>
      </c>
      <c r="B54" s="19" t="n">
        <v>46075</v>
      </c>
      <c r="C54" s="20" t="s">
        <v>51</v>
      </c>
      <c r="D54" s="20" t="s">
        <v>52</v>
      </c>
      <c r="E54" s="21" t="s">
        <v>41</v>
      </c>
      <c r="F54" s="22" t="n">
        <v>18</v>
      </c>
      <c r="G54" s="23" t="n">
        <v>2.1</v>
      </c>
      <c r="H54" s="18" t="n">
        <f aca="false">F54*G54</f>
        <v>37.8</v>
      </c>
      <c r="I54" s="5" t="s">
        <v>42</v>
      </c>
    </row>
    <row r="55" customFormat="false" ht="15.75" hidden="false" customHeight="true" outlineLevel="0" collapsed="false">
      <c r="A55" s="7" t="s">
        <v>108</v>
      </c>
      <c r="B55" s="13" t="n">
        <v>46104</v>
      </c>
      <c r="C55" s="14" t="s">
        <v>34</v>
      </c>
      <c r="D55" s="14" t="s">
        <v>54</v>
      </c>
      <c r="E55" s="15" t="s">
        <v>36</v>
      </c>
      <c r="F55" s="16" t="n">
        <v>5</v>
      </c>
      <c r="G55" s="17" t="n">
        <v>2.8</v>
      </c>
      <c r="H55" s="18" t="n">
        <f aca="false">F55*G55</f>
        <v>14</v>
      </c>
      <c r="I55" s="7" t="s">
        <v>46</v>
      </c>
    </row>
    <row r="56" customFormat="false" ht="15.75" hidden="false" customHeight="true" outlineLevel="0" collapsed="false">
      <c r="A56" s="5" t="s">
        <v>109</v>
      </c>
      <c r="B56" s="19" t="n">
        <v>46136</v>
      </c>
      <c r="C56" s="20" t="s">
        <v>39</v>
      </c>
      <c r="D56" s="20" t="s">
        <v>56</v>
      </c>
      <c r="E56" s="21" t="s">
        <v>41</v>
      </c>
      <c r="F56" s="22" t="n">
        <v>10</v>
      </c>
      <c r="G56" s="23" t="n">
        <v>12.5</v>
      </c>
      <c r="H56" s="18" t="n">
        <f aca="false">F56*G56</f>
        <v>125</v>
      </c>
      <c r="I56" s="5" t="s">
        <v>37</v>
      </c>
    </row>
    <row r="57" customFormat="false" ht="15.75" hidden="false" customHeight="true" outlineLevel="0" collapsed="false">
      <c r="A57" s="7" t="s">
        <v>110</v>
      </c>
      <c r="B57" s="13" t="n">
        <v>46167</v>
      </c>
      <c r="C57" s="14" t="s">
        <v>44</v>
      </c>
      <c r="D57" s="14" t="s">
        <v>58</v>
      </c>
      <c r="E57" s="15" t="s">
        <v>36</v>
      </c>
      <c r="F57" s="16" t="n">
        <v>15</v>
      </c>
      <c r="G57" s="17" t="n">
        <v>5.6</v>
      </c>
      <c r="H57" s="18" t="n">
        <f aca="false">F57*G57</f>
        <v>84</v>
      </c>
      <c r="I57" s="7" t="s">
        <v>42</v>
      </c>
    </row>
    <row r="58" customFormat="false" ht="15.75" hidden="false" customHeight="true" outlineLevel="0" collapsed="false">
      <c r="A58" s="5" t="s">
        <v>111</v>
      </c>
      <c r="B58" s="19" t="n">
        <v>46199</v>
      </c>
      <c r="C58" s="20" t="s">
        <v>48</v>
      </c>
      <c r="D58" s="20" t="s">
        <v>60</v>
      </c>
      <c r="E58" s="21" t="s">
        <v>41</v>
      </c>
      <c r="F58" s="22" t="n">
        <v>20</v>
      </c>
      <c r="G58" s="23" t="n">
        <v>65</v>
      </c>
      <c r="H58" s="18" t="n">
        <f aca="false">F58*G58</f>
        <v>1300</v>
      </c>
      <c r="I58" s="5" t="s">
        <v>46</v>
      </c>
    </row>
    <row r="59" customFormat="false" ht="15.75" hidden="false" customHeight="true" outlineLevel="0" collapsed="false">
      <c r="A59" s="7" t="s">
        <v>112</v>
      </c>
      <c r="B59" s="13" t="n">
        <v>46049</v>
      </c>
      <c r="C59" s="14" t="s">
        <v>51</v>
      </c>
      <c r="D59" s="14" t="s">
        <v>62</v>
      </c>
      <c r="E59" s="15" t="s">
        <v>36</v>
      </c>
      <c r="F59" s="16" t="n">
        <v>25</v>
      </c>
      <c r="G59" s="17" t="n">
        <v>6.5</v>
      </c>
      <c r="H59" s="18" t="n">
        <f aca="false">F59*G59</f>
        <v>162.5</v>
      </c>
      <c r="I59" s="7" t="s">
        <v>37</v>
      </c>
    </row>
    <row r="60" customFormat="false" ht="15.75" hidden="false" customHeight="true" outlineLevel="0" collapsed="false">
      <c r="A60" s="5" t="s">
        <v>113</v>
      </c>
      <c r="B60" s="19" t="n">
        <v>46081</v>
      </c>
      <c r="C60" s="20" t="s">
        <v>34</v>
      </c>
      <c r="D60" s="20" t="s">
        <v>64</v>
      </c>
      <c r="E60" s="21" t="s">
        <v>41</v>
      </c>
      <c r="F60" s="22" t="n">
        <v>30</v>
      </c>
      <c r="G60" s="23" t="n">
        <v>1.2</v>
      </c>
      <c r="H60" s="18" t="n">
        <f aca="false">F60*G60</f>
        <v>36</v>
      </c>
      <c r="I60" s="5" t="s">
        <v>42</v>
      </c>
    </row>
    <row r="61" customFormat="false" ht="15.75" hidden="false" customHeight="true" outlineLevel="0" collapsed="false">
      <c r="A61" s="7" t="s">
        <v>114</v>
      </c>
      <c r="B61" s="13" t="n">
        <v>46082</v>
      </c>
      <c r="C61" s="14" t="s">
        <v>39</v>
      </c>
      <c r="D61" s="14" t="s">
        <v>66</v>
      </c>
      <c r="E61" s="15" t="s">
        <v>36</v>
      </c>
      <c r="F61" s="16" t="n">
        <v>8</v>
      </c>
      <c r="G61" s="17" t="n">
        <v>8.5</v>
      </c>
      <c r="H61" s="18" t="n">
        <f aca="false">F61*G61</f>
        <v>68</v>
      </c>
      <c r="I61" s="7" t="s">
        <v>46</v>
      </c>
    </row>
    <row r="62" customFormat="false" ht="15.75" hidden="false" customHeight="true" outlineLevel="0" collapsed="false">
      <c r="A62" s="5" t="s">
        <v>115</v>
      </c>
      <c r="B62" s="19" t="n">
        <v>46114</v>
      </c>
      <c r="C62" s="20" t="s">
        <v>44</v>
      </c>
      <c r="D62" s="20" t="s">
        <v>68</v>
      </c>
      <c r="E62" s="21" t="s">
        <v>41</v>
      </c>
      <c r="F62" s="22" t="n">
        <v>12</v>
      </c>
      <c r="G62" s="23" t="n">
        <v>3.2</v>
      </c>
      <c r="H62" s="18" t="n">
        <f aca="false">F62*G62</f>
        <v>38.4</v>
      </c>
      <c r="I62" s="5" t="s">
        <v>37</v>
      </c>
    </row>
    <row r="63" customFormat="false" ht="15.75" hidden="false" customHeight="true" outlineLevel="0" collapsed="false">
      <c r="A63" s="7" t="s">
        <v>116</v>
      </c>
      <c r="B63" s="13" t="n">
        <v>46145</v>
      </c>
      <c r="C63" s="14" t="s">
        <v>48</v>
      </c>
      <c r="D63" s="14" t="s">
        <v>70</v>
      </c>
      <c r="E63" s="15" t="s">
        <v>36</v>
      </c>
      <c r="F63" s="16" t="n">
        <v>3</v>
      </c>
      <c r="G63" s="17" t="n">
        <v>145</v>
      </c>
      <c r="H63" s="18" t="n">
        <f aca="false">F63*G63</f>
        <v>435</v>
      </c>
      <c r="I63" s="7" t="s">
        <v>42</v>
      </c>
    </row>
    <row r="64" customFormat="false" ht="15.75" hidden="false" customHeight="true" outlineLevel="0" collapsed="false">
      <c r="A64" s="5" t="s">
        <v>117</v>
      </c>
      <c r="B64" s="19" t="n">
        <v>46177</v>
      </c>
      <c r="C64" s="20" t="s">
        <v>51</v>
      </c>
      <c r="D64" s="20" t="s">
        <v>72</v>
      </c>
      <c r="E64" s="21" t="s">
        <v>41</v>
      </c>
      <c r="F64" s="22" t="n">
        <v>18</v>
      </c>
      <c r="G64" s="23" t="n">
        <v>1.5</v>
      </c>
      <c r="H64" s="18" t="n">
        <f aca="false">F64*G64</f>
        <v>27</v>
      </c>
      <c r="I64" s="5" t="s">
        <v>46</v>
      </c>
    </row>
    <row r="65" customFormat="false" ht="15.75" hidden="false" customHeight="true" outlineLevel="0" collapsed="false">
      <c r="A65" s="7" t="s">
        <v>118</v>
      </c>
      <c r="B65" s="13" t="n">
        <v>46027</v>
      </c>
      <c r="C65" s="14" t="s">
        <v>34</v>
      </c>
      <c r="D65" s="14" t="s">
        <v>35</v>
      </c>
      <c r="E65" s="15" t="s">
        <v>36</v>
      </c>
      <c r="F65" s="16" t="n">
        <v>5</v>
      </c>
      <c r="G65" s="17" t="n">
        <v>4.5</v>
      </c>
      <c r="H65" s="18" t="n">
        <f aca="false">F65*G65</f>
        <v>22.5</v>
      </c>
      <c r="I65" s="7" t="s">
        <v>37</v>
      </c>
    </row>
    <row r="66" customFormat="false" ht="15.75" hidden="false" customHeight="true" outlineLevel="0" collapsed="false">
      <c r="A66" s="5" t="s">
        <v>119</v>
      </c>
      <c r="B66" s="19" t="n">
        <v>46059</v>
      </c>
      <c r="C66" s="20" t="s">
        <v>39</v>
      </c>
      <c r="D66" s="20" t="s">
        <v>40</v>
      </c>
      <c r="E66" s="21" t="s">
        <v>41</v>
      </c>
      <c r="F66" s="22" t="n">
        <v>10</v>
      </c>
      <c r="G66" s="23" t="n">
        <v>18.9</v>
      </c>
      <c r="H66" s="18" t="n">
        <f aca="false">F66*G66</f>
        <v>189</v>
      </c>
      <c r="I66" s="5" t="s">
        <v>42</v>
      </c>
    </row>
    <row r="67" customFormat="false" ht="15.75" hidden="false" customHeight="true" outlineLevel="0" collapsed="false">
      <c r="A67" s="7" t="s">
        <v>120</v>
      </c>
      <c r="B67" s="13" t="n">
        <v>46088</v>
      </c>
      <c r="C67" s="14" t="s">
        <v>44</v>
      </c>
      <c r="D67" s="14" t="s">
        <v>45</v>
      </c>
      <c r="E67" s="15" t="s">
        <v>36</v>
      </c>
      <c r="F67" s="16" t="n">
        <v>15</v>
      </c>
      <c r="G67" s="17" t="n">
        <v>2.1</v>
      </c>
      <c r="H67" s="18" t="n">
        <f aca="false">F67*G67</f>
        <v>31.5</v>
      </c>
      <c r="I67" s="7" t="s">
        <v>46</v>
      </c>
    </row>
    <row r="68" customFormat="false" ht="15.75" hidden="false" customHeight="true" outlineLevel="0" collapsed="false">
      <c r="A68" s="5" t="s">
        <v>121</v>
      </c>
      <c r="B68" s="19" t="n">
        <v>46120</v>
      </c>
      <c r="C68" s="20" t="s">
        <v>48</v>
      </c>
      <c r="D68" s="20" t="s">
        <v>49</v>
      </c>
      <c r="E68" s="21" t="s">
        <v>41</v>
      </c>
      <c r="F68" s="22" t="n">
        <v>20</v>
      </c>
      <c r="G68" s="23" t="n">
        <v>89</v>
      </c>
      <c r="H68" s="18" t="n">
        <f aca="false">F68*G68</f>
        <v>1780</v>
      </c>
      <c r="I68" s="5" t="s">
        <v>37</v>
      </c>
    </row>
    <row r="69" customFormat="false" ht="15.75" hidden="false" customHeight="true" outlineLevel="0" collapsed="false">
      <c r="A69" s="7" t="s">
        <v>122</v>
      </c>
      <c r="B69" s="13" t="n">
        <v>46151</v>
      </c>
      <c r="C69" s="14" t="s">
        <v>51</v>
      </c>
      <c r="D69" s="14" t="s">
        <v>52</v>
      </c>
      <c r="E69" s="15" t="s">
        <v>36</v>
      </c>
      <c r="F69" s="16" t="n">
        <v>25</v>
      </c>
      <c r="G69" s="17" t="n">
        <v>2.1</v>
      </c>
      <c r="H69" s="18" t="n">
        <f aca="false">F69*G69</f>
        <v>52.5</v>
      </c>
      <c r="I69" s="7" t="s">
        <v>42</v>
      </c>
    </row>
    <row r="70" customFormat="false" ht="15.75" hidden="false" customHeight="true" outlineLevel="0" collapsed="false">
      <c r="A70" s="5" t="s">
        <v>123</v>
      </c>
      <c r="B70" s="19" t="n">
        <v>46183</v>
      </c>
      <c r="C70" s="20" t="s">
        <v>34</v>
      </c>
      <c r="D70" s="20" t="s">
        <v>54</v>
      </c>
      <c r="E70" s="21" t="s">
        <v>41</v>
      </c>
      <c r="F70" s="22" t="n">
        <v>30</v>
      </c>
      <c r="G70" s="23" t="n">
        <v>2.8</v>
      </c>
      <c r="H70" s="18" t="n">
        <f aca="false">F70*G70</f>
        <v>84</v>
      </c>
      <c r="I70" s="5" t="s">
        <v>46</v>
      </c>
    </row>
    <row r="71" customFormat="false" ht="15.75" hidden="false" customHeight="true" outlineLevel="0" collapsed="false">
      <c r="A71" s="7" t="s">
        <v>124</v>
      </c>
      <c r="B71" s="13" t="n">
        <v>46033</v>
      </c>
      <c r="C71" s="14" t="s">
        <v>39</v>
      </c>
      <c r="D71" s="14" t="s">
        <v>56</v>
      </c>
      <c r="E71" s="15" t="s">
        <v>36</v>
      </c>
      <c r="F71" s="16" t="n">
        <v>8</v>
      </c>
      <c r="G71" s="17" t="n">
        <v>12.5</v>
      </c>
      <c r="H71" s="18" t="n">
        <f aca="false">F71*G71</f>
        <v>100</v>
      </c>
      <c r="I71" s="7" t="s">
        <v>37</v>
      </c>
    </row>
    <row r="72" customFormat="false" ht="15.75" hidden="false" customHeight="true" outlineLevel="0" collapsed="false">
      <c r="A72" s="5" t="s">
        <v>125</v>
      </c>
      <c r="B72" s="19" t="n">
        <v>46065</v>
      </c>
      <c r="C72" s="20" t="s">
        <v>44</v>
      </c>
      <c r="D72" s="20" t="s">
        <v>58</v>
      </c>
      <c r="E72" s="21" t="s">
        <v>41</v>
      </c>
      <c r="F72" s="22" t="n">
        <v>12</v>
      </c>
      <c r="G72" s="23" t="n">
        <v>5.6</v>
      </c>
      <c r="H72" s="18" t="n">
        <f aca="false">F72*G72</f>
        <v>67.2</v>
      </c>
      <c r="I72" s="5" t="s">
        <v>42</v>
      </c>
    </row>
    <row r="73" customFormat="false" ht="15.75" hidden="false" customHeight="true" outlineLevel="0" collapsed="false">
      <c r="A73" s="7" t="s">
        <v>126</v>
      </c>
      <c r="B73" s="13" t="n">
        <v>46094</v>
      </c>
      <c r="C73" s="14" t="s">
        <v>48</v>
      </c>
      <c r="D73" s="14" t="s">
        <v>60</v>
      </c>
      <c r="E73" s="15" t="s">
        <v>36</v>
      </c>
      <c r="F73" s="16" t="n">
        <v>3</v>
      </c>
      <c r="G73" s="17" t="n">
        <v>65</v>
      </c>
      <c r="H73" s="18" t="n">
        <f aca="false">F73*G73</f>
        <v>195</v>
      </c>
      <c r="I73" s="7" t="s">
        <v>46</v>
      </c>
    </row>
    <row r="74" customFormat="false" ht="15.75" hidden="false" customHeight="true" outlineLevel="0" collapsed="false">
      <c r="A74" s="5" t="s">
        <v>127</v>
      </c>
      <c r="B74" s="19" t="n">
        <v>46126</v>
      </c>
      <c r="C74" s="20" t="s">
        <v>51</v>
      </c>
      <c r="D74" s="20" t="s">
        <v>62</v>
      </c>
      <c r="E74" s="21" t="s">
        <v>41</v>
      </c>
      <c r="F74" s="22" t="n">
        <v>18</v>
      </c>
      <c r="G74" s="23" t="n">
        <v>6.5</v>
      </c>
      <c r="H74" s="18" t="n">
        <f aca="false">F74*G74</f>
        <v>117</v>
      </c>
      <c r="I74" s="5" t="s">
        <v>37</v>
      </c>
    </row>
    <row r="75" customFormat="false" ht="15.75" hidden="false" customHeight="true" outlineLevel="0" collapsed="false">
      <c r="A75" s="7" t="s">
        <v>128</v>
      </c>
      <c r="B75" s="13" t="n">
        <v>46157</v>
      </c>
      <c r="C75" s="14" t="s">
        <v>34</v>
      </c>
      <c r="D75" s="14" t="s">
        <v>64</v>
      </c>
      <c r="E75" s="15" t="s">
        <v>36</v>
      </c>
      <c r="F75" s="16" t="n">
        <v>5</v>
      </c>
      <c r="G75" s="17" t="n">
        <v>1.2</v>
      </c>
      <c r="H75" s="18" t="n">
        <f aca="false">F75*G75</f>
        <v>6</v>
      </c>
      <c r="I75" s="7" t="s">
        <v>42</v>
      </c>
    </row>
    <row r="76" customFormat="false" ht="15.75" hidden="false" customHeight="true" outlineLevel="0" collapsed="false">
      <c r="A76" s="5" t="s">
        <v>129</v>
      </c>
      <c r="B76" s="19" t="n">
        <v>46189</v>
      </c>
      <c r="C76" s="20" t="s">
        <v>39</v>
      </c>
      <c r="D76" s="20" t="s">
        <v>66</v>
      </c>
      <c r="E76" s="21" t="s">
        <v>41</v>
      </c>
      <c r="F76" s="22" t="n">
        <v>10</v>
      </c>
      <c r="G76" s="23" t="n">
        <v>8.5</v>
      </c>
      <c r="H76" s="18" t="n">
        <f aca="false">F76*G76</f>
        <v>85</v>
      </c>
      <c r="I76" s="5" t="s">
        <v>46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0" t="s">
        <v>130</v>
      </c>
      <c r="B1" s="10"/>
      <c r="C1" s="10"/>
      <c r="D1" s="10"/>
      <c r="E1" s="10"/>
    </row>
    <row r="2" customFormat="false" ht="18" hidden="false" customHeight="true" outlineLevel="0" collapsed="false">
      <c r="A2" s="11" t="s">
        <v>131</v>
      </c>
      <c r="B2" s="11"/>
      <c r="C2" s="11"/>
      <c r="D2" s="11"/>
      <c r="E2" s="11"/>
    </row>
    <row r="4" customFormat="false" ht="21.75" hidden="false" customHeight="true" outlineLevel="0" collapsed="false">
      <c r="A4" s="4" t="s">
        <v>132</v>
      </c>
      <c r="B4" s="4" t="s">
        <v>133</v>
      </c>
      <c r="C4" s="4" t="s">
        <v>134</v>
      </c>
      <c r="D4" s="4" t="s">
        <v>135</v>
      </c>
      <c r="E4" s="4" t="s">
        <v>136</v>
      </c>
    </row>
    <row r="5" customFormat="false" ht="24" hidden="false" customHeight="true" outlineLevel="0" collapsed="false">
      <c r="A5" s="8" t="s">
        <v>137</v>
      </c>
      <c r="B5" s="7" t="s">
        <v>138</v>
      </c>
      <c r="C5" s="14" t="s">
        <v>31</v>
      </c>
      <c r="D5" s="24" t="n">
        <f aca="false">SUM(BASE!H5:H76)</f>
        <v>19972.3</v>
      </c>
      <c r="E5" s="25" t="s">
        <v>139</v>
      </c>
    </row>
    <row r="6" customFormat="false" ht="24" hidden="false" customHeight="true" outlineLevel="0" collapsed="false">
      <c r="A6" s="6" t="s">
        <v>140</v>
      </c>
      <c r="B6" s="5" t="s">
        <v>141</v>
      </c>
      <c r="C6" s="20" t="s">
        <v>31</v>
      </c>
      <c r="D6" s="24" t="n">
        <f aca="false">AVERAGE(BASE!H5:H76)</f>
        <v>277.393055555556</v>
      </c>
      <c r="E6" s="25" t="s">
        <v>140</v>
      </c>
    </row>
    <row r="7" customFormat="false" ht="24" hidden="false" customHeight="true" outlineLevel="0" collapsed="false">
      <c r="A7" s="8" t="s">
        <v>142</v>
      </c>
      <c r="B7" s="7" t="s">
        <v>143</v>
      </c>
      <c r="C7" s="14" t="s">
        <v>31</v>
      </c>
      <c r="D7" s="24" t="n">
        <f aca="false">MAX(BASE!H5:H76)</f>
        <v>2900</v>
      </c>
      <c r="E7" s="25" t="s">
        <v>142</v>
      </c>
    </row>
    <row r="8" customFormat="false" ht="24" hidden="false" customHeight="true" outlineLevel="0" collapsed="false">
      <c r="A8" s="6" t="s">
        <v>144</v>
      </c>
      <c r="B8" s="5" t="s">
        <v>145</v>
      </c>
      <c r="C8" s="20" t="s">
        <v>31</v>
      </c>
      <c r="D8" s="24" t="n">
        <f aca="false">MIN(BASE!H5:H76)</f>
        <v>6</v>
      </c>
      <c r="E8" s="25" t="s">
        <v>144</v>
      </c>
    </row>
    <row r="9" customFormat="false" ht="24" hidden="false" customHeight="true" outlineLevel="0" collapsed="false">
      <c r="A9" s="8" t="s">
        <v>146</v>
      </c>
      <c r="B9" s="7" t="s">
        <v>147</v>
      </c>
      <c r="C9" s="14" t="s">
        <v>24</v>
      </c>
      <c r="D9" s="26" t="n">
        <f aca="false">COUNTA(BASE!A5:A76)</f>
        <v>72</v>
      </c>
      <c r="E9" s="25" t="s">
        <v>148</v>
      </c>
    </row>
    <row r="10" customFormat="false" ht="24" hidden="false" customHeight="true" outlineLevel="0" collapsed="false">
      <c r="A10" s="6" t="s">
        <v>149</v>
      </c>
      <c r="B10" s="5" t="s">
        <v>150</v>
      </c>
      <c r="C10" s="20" t="s">
        <v>151</v>
      </c>
      <c r="D10" s="26" t="n">
        <f aca="false">COUNTIF(BASE!E5:E76,"Entrada")</f>
        <v>36</v>
      </c>
      <c r="E10" s="25" t="s">
        <v>152</v>
      </c>
    </row>
    <row r="11" customFormat="false" ht="24" hidden="false" customHeight="true" outlineLevel="0" collapsed="false">
      <c r="A11" s="8" t="s">
        <v>153</v>
      </c>
      <c r="B11" s="7" t="s">
        <v>150</v>
      </c>
      <c r="C11" s="14" t="s">
        <v>154</v>
      </c>
      <c r="D11" s="26" t="n">
        <f aca="false">COUNTIF(BASE!E5:E76,"Saída")</f>
        <v>36</v>
      </c>
      <c r="E11" s="25" t="s">
        <v>155</v>
      </c>
    </row>
    <row r="12" customFormat="false" ht="24" hidden="false" customHeight="true" outlineLevel="0" collapsed="false">
      <c r="A12" s="6" t="s">
        <v>156</v>
      </c>
      <c r="B12" s="5" t="s">
        <v>150</v>
      </c>
      <c r="C12" s="20" t="s">
        <v>157</v>
      </c>
      <c r="D12" s="26" t="n">
        <f aca="false">COUNTIF(BASE!I5:I76,"Norte")</f>
        <v>24</v>
      </c>
      <c r="E12" s="25" t="s">
        <v>158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</cols>
  <sheetData>
    <row r="1" customFormat="false" ht="25.5" hidden="false" customHeight="true" outlineLevel="0" collapsed="false">
      <c r="A1" s="10" t="s">
        <v>159</v>
      </c>
      <c r="B1" s="10"/>
      <c r="C1" s="10"/>
      <c r="D1" s="10"/>
      <c r="E1" s="10"/>
      <c r="F1" s="10"/>
    </row>
    <row r="2" customFormat="false" ht="18" hidden="false" customHeight="true" outlineLevel="0" collapsed="false">
      <c r="A2" s="11" t="s">
        <v>160</v>
      </c>
      <c r="B2" s="11"/>
      <c r="C2" s="11"/>
      <c r="D2" s="11"/>
      <c r="E2" s="11"/>
      <c r="F2" s="11"/>
    </row>
    <row r="4" customFormat="false" ht="21.75" hidden="false" customHeight="true" outlineLevel="0" collapsed="false">
      <c r="A4" s="27" t="s">
        <v>161</v>
      </c>
      <c r="B4" s="27"/>
      <c r="C4" s="27"/>
      <c r="D4" s="27"/>
    </row>
    <row r="5" customFormat="false" ht="19.5" hidden="false" customHeight="true" outlineLevel="0" collapsed="false">
      <c r="A5" s="4" t="s">
        <v>26</v>
      </c>
      <c r="B5" s="4" t="s">
        <v>162</v>
      </c>
      <c r="C5" s="4" t="s">
        <v>163</v>
      </c>
      <c r="D5" s="4" t="s">
        <v>164</v>
      </c>
    </row>
    <row r="6" customFormat="false" ht="19.5" hidden="false" customHeight="true" outlineLevel="0" collapsed="false">
      <c r="A6" s="14" t="s">
        <v>34</v>
      </c>
      <c r="B6" s="26" t="n">
        <f aca="false">COUNTIF(BASE!C5:C76,"Papelaria")</f>
        <v>15</v>
      </c>
      <c r="C6" s="24" t="n">
        <f aca="false">SUMIF(BASE!C5:C76,"Papelaria",BASE!H5:H76)</f>
        <v>707.5</v>
      </c>
      <c r="D6" s="24" t="n">
        <f aca="false">AVERAGEIF(BASE!C5:C76,"Papelaria",BASE!H5:H76)</f>
        <v>47.1666666666667</v>
      </c>
    </row>
    <row r="7" customFormat="false" ht="19.5" hidden="false" customHeight="true" outlineLevel="0" collapsed="false">
      <c r="A7" s="20" t="s">
        <v>39</v>
      </c>
      <c r="B7" s="26" t="n">
        <f aca="false">COUNTIF(BASE!C5:C76,"Informática")</f>
        <v>15</v>
      </c>
      <c r="C7" s="24" t="n">
        <f aca="false">SUMIF(BASE!C5:C76,"Informática",BASE!H5:H76)</f>
        <v>1810.4</v>
      </c>
      <c r="D7" s="24" t="n">
        <f aca="false">AVERAGEIF(BASE!C5:C76,"Informática",BASE!H5:H76)</f>
        <v>120.693333333333</v>
      </c>
    </row>
    <row r="8" customFormat="false" ht="19.5" hidden="false" customHeight="true" outlineLevel="0" collapsed="false">
      <c r="A8" s="14" t="s">
        <v>44</v>
      </c>
      <c r="B8" s="26" t="n">
        <f aca="false">COUNTIF(BASE!C5:C76,"Limpeza")</f>
        <v>14</v>
      </c>
      <c r="C8" s="24" t="n">
        <f aca="false">SUMIF(BASE!C5:C76,"Limpeza",BASE!H5:H76)</f>
        <v>687.3</v>
      </c>
      <c r="D8" s="24" t="n">
        <f aca="false">AVERAGEIF(BASE!C5:C76,"Limpeza",BASE!H5:H76)</f>
        <v>49.0928571428571</v>
      </c>
    </row>
    <row r="9" customFormat="false" ht="19.5" hidden="false" customHeight="true" outlineLevel="0" collapsed="false">
      <c r="A9" s="20" t="s">
        <v>48</v>
      </c>
      <c r="B9" s="26" t="n">
        <f aca="false">COUNTIF(BASE!C5:C76,"Mobiliário")</f>
        <v>14</v>
      </c>
      <c r="C9" s="24" t="n">
        <f aca="false">SUMIF(BASE!C5:C76,"Mobiliário",BASE!H5:H76)</f>
        <v>15729</v>
      </c>
      <c r="D9" s="24" t="n">
        <f aca="false">AVERAGEIF(BASE!C5:C76,"Mobiliário",BASE!H5:H76)</f>
        <v>1123.5</v>
      </c>
    </row>
    <row r="10" customFormat="false" ht="19.5" hidden="false" customHeight="true" outlineLevel="0" collapsed="false">
      <c r="A10" s="14" t="s">
        <v>51</v>
      </c>
      <c r="B10" s="26" t="n">
        <f aca="false">COUNTIF(BASE!C5:C76,"Escritório")</f>
        <v>14</v>
      </c>
      <c r="C10" s="24" t="n">
        <f aca="false">SUMIF(BASE!C5:C76,"Escritório",BASE!H5:H76)</f>
        <v>1038.1</v>
      </c>
      <c r="D10" s="24" t="n">
        <f aca="false">AVERAGEIF(BASE!C5:C76,"Escritório",BASE!H5:H76)</f>
        <v>74.15</v>
      </c>
    </row>
    <row r="13" customFormat="false" ht="21.75" hidden="false" customHeight="true" outlineLevel="0" collapsed="false">
      <c r="A13" s="27" t="s">
        <v>165</v>
      </c>
      <c r="B13" s="27"/>
      <c r="C13" s="27"/>
      <c r="D13" s="27"/>
    </row>
    <row r="14" customFormat="false" ht="19.5" hidden="false" customHeight="true" outlineLevel="0" collapsed="false">
      <c r="A14" s="4" t="s">
        <v>28</v>
      </c>
      <c r="B14" s="4" t="s">
        <v>162</v>
      </c>
      <c r="C14" s="4" t="s">
        <v>163</v>
      </c>
      <c r="D14" s="4" t="s">
        <v>164</v>
      </c>
    </row>
    <row r="15" customFormat="false" ht="19.5" hidden="false" customHeight="true" outlineLevel="0" collapsed="false">
      <c r="A15" s="14" t="s">
        <v>36</v>
      </c>
      <c r="B15" s="26" t="n">
        <f aca="false">COUNTIF(BASE!E5:E76,"Entrada")</f>
        <v>36</v>
      </c>
      <c r="C15" s="24" t="n">
        <f aca="false">SUMIF(BASE!E5:E76,"Entrada",BASE!H5:H76)</f>
        <v>3756.9</v>
      </c>
      <c r="D15" s="24" t="n">
        <f aca="false">AVERAGEIF(BASE!E5:E76,"Entrada",BASE!H5:H76)</f>
        <v>104.358333333333</v>
      </c>
    </row>
    <row r="16" customFormat="false" ht="19.5" hidden="false" customHeight="true" outlineLevel="0" collapsed="false">
      <c r="A16" s="20" t="s">
        <v>41</v>
      </c>
      <c r="B16" s="26" t="n">
        <f aca="false">COUNTIF(BASE!E5:E76,"Saída")</f>
        <v>36</v>
      </c>
      <c r="C16" s="24" t="n">
        <f aca="false">SUMIF(BASE!E5:E76,"Saída",BASE!H5:H76)</f>
        <v>16215.4</v>
      </c>
      <c r="D16" s="24" t="n">
        <f aca="false">AVERAGEIF(BASE!E5:E76,"Saída",BASE!H5:H76)</f>
        <v>450.427777777778</v>
      </c>
    </row>
    <row r="19" customFormat="false" ht="21.75" hidden="false" customHeight="true" outlineLevel="0" collapsed="false">
      <c r="A19" s="27" t="s">
        <v>166</v>
      </c>
      <c r="B19" s="27"/>
      <c r="C19" s="27"/>
      <c r="D19" s="27"/>
    </row>
    <row r="20" customFormat="false" ht="19.5" hidden="false" customHeight="true" outlineLevel="0" collapsed="false">
      <c r="A20" s="4" t="s">
        <v>32</v>
      </c>
      <c r="B20" s="4" t="s">
        <v>162</v>
      </c>
      <c r="C20" s="4" t="s">
        <v>163</v>
      </c>
      <c r="D20" s="4" t="s">
        <v>164</v>
      </c>
    </row>
    <row r="21" customFormat="false" ht="19.5" hidden="false" customHeight="true" outlineLevel="0" collapsed="false">
      <c r="A21" s="14" t="s">
        <v>37</v>
      </c>
      <c r="B21" s="26" t="n">
        <f aca="false">COUNTIF(BASE!I5:I76,"Norte")</f>
        <v>24</v>
      </c>
      <c r="C21" s="24" t="n">
        <f aca="false">SUMIF(BASE!I5:I76,"Norte",BASE!H5:H76)</f>
        <v>7610.3</v>
      </c>
      <c r="D21" s="24" t="n">
        <f aca="false">AVERAGEIF(BASE!I5:I76,"Norte",BASE!H5:H76)</f>
        <v>317.095833333333</v>
      </c>
    </row>
    <row r="22" customFormat="false" ht="19.5" hidden="false" customHeight="true" outlineLevel="0" collapsed="false">
      <c r="A22" s="20" t="s">
        <v>42</v>
      </c>
      <c r="B22" s="26" t="n">
        <f aca="false">COUNTIF(BASE!I5:I76,"Sul")</f>
        <v>24</v>
      </c>
      <c r="C22" s="24" t="n">
        <f aca="false">SUMIF(BASE!I5:I76,"Sul",BASE!H5:H76)</f>
        <v>8232.1</v>
      </c>
      <c r="D22" s="24" t="n">
        <f aca="false">AVERAGEIF(BASE!I5:I76,"Sul",BASE!H5:H76)</f>
        <v>343.004166666667</v>
      </c>
    </row>
    <row r="23" customFormat="false" ht="19.5" hidden="false" customHeight="true" outlineLevel="0" collapsed="false">
      <c r="A23" s="14" t="s">
        <v>46</v>
      </c>
      <c r="B23" s="26" t="n">
        <f aca="false">COUNTIF(BASE!I5:I76,"Centro")</f>
        <v>24</v>
      </c>
      <c r="C23" s="24" t="n">
        <f aca="false">SUMIF(BASE!I5:I76,"Centro",BASE!H5:H76)</f>
        <v>4129.9</v>
      </c>
      <c r="D23" s="24" t="n">
        <f aca="false">AVERAGEIF(BASE!I5:I76,"Centro",BASE!H5:H76)</f>
        <v>172.079166666667</v>
      </c>
    </row>
  </sheetData>
  <mergeCells count="5">
    <mergeCell ref="A1:F1"/>
    <mergeCell ref="A2:F2"/>
    <mergeCell ref="A4:D4"/>
    <mergeCell ref="A13:D13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25.5" hidden="false" customHeight="true" outlineLevel="0" collapsed="false">
      <c r="A1" s="10" t="s">
        <v>167</v>
      </c>
      <c r="B1" s="10"/>
      <c r="C1" s="10"/>
      <c r="D1" s="10"/>
      <c r="E1" s="10"/>
      <c r="F1" s="10"/>
      <c r="G1" s="10"/>
      <c r="H1" s="10"/>
    </row>
    <row r="2" customFormat="false" ht="18" hidden="false" customHeight="true" outlineLevel="0" collapsed="false">
      <c r="A2" s="11" t="s">
        <v>168</v>
      </c>
      <c r="B2" s="11"/>
      <c r="C2" s="11"/>
      <c r="D2" s="11"/>
      <c r="E2" s="11"/>
      <c r="F2" s="11"/>
      <c r="G2" s="11"/>
      <c r="H2" s="11"/>
    </row>
    <row r="4" customFormat="false" ht="21.75" hidden="false" customHeight="true" outlineLevel="0" collapsed="false">
      <c r="A4" s="28" t="s">
        <v>169</v>
      </c>
      <c r="B4" s="28"/>
      <c r="C4" s="28"/>
      <c r="D4" s="28"/>
      <c r="E4" s="28"/>
      <c r="F4" s="28"/>
      <c r="G4" s="28"/>
      <c r="H4" s="28"/>
    </row>
    <row r="5" customFormat="false" ht="19.5" hidden="false" customHeight="true" outlineLevel="0" collapsed="false">
      <c r="A5" s="29" t="s">
        <v>170</v>
      </c>
      <c r="B5" s="29"/>
      <c r="C5" s="29"/>
      <c r="D5" s="29"/>
      <c r="E5" s="29"/>
      <c r="F5" s="29"/>
      <c r="G5" s="29"/>
      <c r="H5" s="29"/>
    </row>
    <row r="6" customFormat="false" ht="19.5" hidden="false" customHeight="true" outlineLevel="0" collapsed="false">
      <c r="A6" s="29"/>
      <c r="B6" s="29"/>
      <c r="C6" s="29"/>
      <c r="D6" s="29"/>
      <c r="E6" s="29"/>
      <c r="F6" s="29"/>
      <c r="G6" s="29"/>
      <c r="H6" s="29"/>
    </row>
    <row r="7" customFormat="false" ht="21.75" hidden="false" customHeight="true" outlineLevel="0" collapsed="false">
      <c r="A7" s="28" t="s">
        <v>171</v>
      </c>
      <c r="B7" s="28"/>
      <c r="C7" s="28"/>
      <c r="D7" s="28"/>
      <c r="E7" s="28"/>
      <c r="F7" s="28"/>
      <c r="G7" s="28"/>
      <c r="H7" s="28"/>
    </row>
    <row r="8" customFormat="false" ht="19.5" hidden="false" customHeight="true" outlineLevel="0" collapsed="false">
      <c r="A8" s="29" t="s">
        <v>170</v>
      </c>
      <c r="B8" s="29"/>
      <c r="C8" s="29"/>
      <c r="D8" s="29"/>
      <c r="E8" s="29"/>
      <c r="F8" s="29"/>
      <c r="G8" s="29"/>
      <c r="H8" s="29"/>
    </row>
    <row r="9" customFormat="false" ht="19.5" hidden="false" customHeight="true" outlineLevel="0" collapsed="false">
      <c r="A9" s="29"/>
      <c r="B9" s="29"/>
      <c r="C9" s="29"/>
      <c r="D9" s="29"/>
      <c r="E9" s="29"/>
      <c r="F9" s="29"/>
      <c r="G9" s="29"/>
      <c r="H9" s="29"/>
    </row>
    <row r="10" customFormat="false" ht="21.75" hidden="false" customHeight="true" outlineLevel="0" collapsed="false">
      <c r="A10" s="28" t="s">
        <v>172</v>
      </c>
      <c r="B10" s="28"/>
      <c r="C10" s="28"/>
      <c r="D10" s="28"/>
      <c r="E10" s="28"/>
      <c r="F10" s="28"/>
      <c r="G10" s="28"/>
      <c r="H10" s="28"/>
    </row>
    <row r="11" customFormat="false" ht="19.5" hidden="false" customHeight="true" outlineLevel="0" collapsed="false">
      <c r="A11" s="29" t="s">
        <v>170</v>
      </c>
      <c r="B11" s="29"/>
      <c r="C11" s="29"/>
      <c r="D11" s="29"/>
      <c r="E11" s="29"/>
      <c r="F11" s="29"/>
      <c r="G11" s="29"/>
      <c r="H11" s="29"/>
    </row>
    <row r="12" customFormat="false" ht="19.5" hidden="false" customHeight="true" outlineLevel="0" collapsed="false">
      <c r="A12" s="29"/>
      <c r="B12" s="29"/>
      <c r="C12" s="29"/>
      <c r="D12" s="29"/>
      <c r="E12" s="29"/>
      <c r="F12" s="29"/>
      <c r="G12" s="29"/>
      <c r="H12" s="29"/>
    </row>
  </sheetData>
  <mergeCells count="8">
    <mergeCell ref="A1:H1"/>
    <mergeCell ref="A2:H2"/>
    <mergeCell ref="A4:H4"/>
    <mergeCell ref="A5:H6"/>
    <mergeCell ref="A7:H7"/>
    <mergeCell ref="A8:H9"/>
    <mergeCell ref="A10:H10"/>
    <mergeCell ref="A11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5"/>
  </cols>
  <sheetData>
    <row r="1" customFormat="false" ht="25.5" hidden="false" customHeight="true" outlineLevel="0" collapsed="false">
      <c r="A1" s="10" t="s">
        <v>173</v>
      </c>
      <c r="B1" s="10"/>
      <c r="C1" s="10"/>
      <c r="D1" s="10"/>
    </row>
    <row r="2" customFormat="false" ht="18" hidden="false" customHeight="true" outlineLevel="0" collapsed="false">
      <c r="A2" s="11" t="s">
        <v>174</v>
      </c>
      <c r="B2" s="11"/>
      <c r="C2" s="11"/>
      <c r="D2" s="11"/>
    </row>
    <row r="4" customFormat="false" ht="21.75" hidden="false" customHeight="true" outlineLevel="0" collapsed="false">
      <c r="A4" s="4" t="s">
        <v>175</v>
      </c>
      <c r="B4" s="4" t="s">
        <v>176</v>
      </c>
      <c r="C4" s="4" t="s">
        <v>5</v>
      </c>
      <c r="D4" s="4" t="s">
        <v>177</v>
      </c>
    </row>
    <row r="5" customFormat="false" ht="24" hidden="false" customHeight="true" outlineLevel="0" collapsed="false">
      <c r="A5" s="8" t="s">
        <v>178</v>
      </c>
      <c r="B5" s="30" t="s">
        <v>179</v>
      </c>
      <c r="C5" s="7" t="s">
        <v>8</v>
      </c>
      <c r="D5" s="31"/>
    </row>
    <row r="6" customFormat="false" ht="24" hidden="false" customHeight="true" outlineLevel="0" collapsed="false">
      <c r="A6" s="6" t="s">
        <v>180</v>
      </c>
      <c r="B6" s="32" t="s">
        <v>179</v>
      </c>
      <c r="C6" s="5" t="s">
        <v>8</v>
      </c>
      <c r="D6" s="31"/>
    </row>
    <row r="7" customFormat="false" ht="24" hidden="false" customHeight="true" outlineLevel="0" collapsed="false">
      <c r="A7" s="8" t="s">
        <v>181</v>
      </c>
      <c r="B7" s="30" t="s">
        <v>179</v>
      </c>
      <c r="C7" s="7" t="s">
        <v>8</v>
      </c>
      <c r="D7" s="31"/>
    </row>
    <row r="8" customFormat="false" ht="24" hidden="false" customHeight="true" outlineLevel="0" collapsed="false">
      <c r="A8" s="6" t="s">
        <v>182</v>
      </c>
      <c r="B8" s="32" t="s">
        <v>179</v>
      </c>
      <c r="C8" s="5" t="s">
        <v>11</v>
      </c>
      <c r="D8" s="31"/>
    </row>
    <row r="9" customFormat="false" ht="24" hidden="false" customHeight="true" outlineLevel="0" collapsed="false">
      <c r="A9" s="8" t="s">
        <v>183</v>
      </c>
      <c r="B9" s="30" t="s">
        <v>179</v>
      </c>
      <c r="C9" s="7" t="s">
        <v>14</v>
      </c>
      <c r="D9" s="31"/>
    </row>
    <row r="10" customFormat="false" ht="24" hidden="false" customHeight="true" outlineLevel="0" collapsed="false">
      <c r="A10" s="6" t="s">
        <v>184</v>
      </c>
      <c r="B10" s="32" t="s">
        <v>179</v>
      </c>
      <c r="C10" s="5" t="s">
        <v>17</v>
      </c>
      <c r="D10" s="31"/>
    </row>
    <row r="11" customFormat="false" ht="24" hidden="false" customHeight="true" outlineLevel="0" collapsed="false">
      <c r="A11" s="8" t="s">
        <v>185</v>
      </c>
      <c r="B11" s="30" t="s">
        <v>179</v>
      </c>
      <c r="C11" s="7" t="s">
        <v>17</v>
      </c>
      <c r="D11" s="31"/>
    </row>
    <row r="12" customFormat="false" ht="24" hidden="false" customHeight="true" outlineLevel="0" collapsed="false">
      <c r="A12" s="6" t="s">
        <v>186</v>
      </c>
      <c r="B12" s="32" t="s">
        <v>179</v>
      </c>
      <c r="C12" s="5" t="s">
        <v>187</v>
      </c>
      <c r="D12" s="31"/>
    </row>
    <row r="13" customFormat="false" ht="24" hidden="false" customHeight="true" outlineLevel="0" collapsed="false">
      <c r="A13" s="8" t="s">
        <v>188</v>
      </c>
      <c r="B13" s="30" t="s">
        <v>179</v>
      </c>
      <c r="C13" s="7" t="s">
        <v>187</v>
      </c>
      <c r="D13" s="31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2026-09-02T16:52:27Z</dcterms:created>
  <dc:creator>openpyxl</dc:creator>
  <dc:description/>
  <dc:language>en-US</dc:language>
  <cp:lastModifiedBy/>
  <dcterms:modified xsi:type="dcterms:W3CDTF">2026-09-02T16:52:27Z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