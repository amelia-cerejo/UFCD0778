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tos\Codex\Projetos-Codex\UFCD0778\assets\ficheiros\Excel\"/>
    </mc:Choice>
  </mc:AlternateContent>
  <xr:revisionPtr revIDLastSave="0" documentId="13_ncr:1_{CAC6667D-CA11-40AD-89E0-8BD0001BD38F}" xr6:coauthVersionLast="47" xr6:coauthVersionMax="47" xr10:uidLastSave="{00000000-0000-0000-0000-000000000000}"/>
  <bookViews>
    <workbookView xWindow="-26580" yWindow="2985" windowWidth="25515" windowHeight="10065" activeTab="5" xr2:uid="{00000000-000D-0000-FFFF-FFFF00000000}"/>
  </bookViews>
  <sheets>
    <sheet name="INSTRUÇÕES" sheetId="1" r:id="rId1"/>
    <sheet name="PRODUTOS" sheetId="2" r:id="rId2"/>
    <sheet name="FORNECEDORES" sheetId="3" r:id="rId3"/>
    <sheet name="MOVIMENTOS" sheetId="4" r:id="rId4"/>
    <sheet name="SÉRIES" sheetId="5" r:id="rId5"/>
    <sheet name="VERIFICAÇÃO" sheetId="6" r:id="rId6"/>
    <sheet name="MODELO_MOVIMENTOS" sheetId="7" state="hidden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6" l="1"/>
  <c r="C27" i="6"/>
  <c r="C28" i="6"/>
  <c r="C29" i="6"/>
  <c r="C30" i="6"/>
  <c r="C25" i="6"/>
  <c r="B30" i="6"/>
  <c r="B29" i="6"/>
  <c r="B28" i="6"/>
  <c r="B27" i="6"/>
  <c r="B26" i="6"/>
  <c r="B25" i="6"/>
  <c r="G16" i="6"/>
  <c r="G15" i="6"/>
  <c r="A15" i="6"/>
  <c r="G14" i="6"/>
  <c r="A14" i="6"/>
  <c r="G13" i="6"/>
  <c r="A13" i="6"/>
  <c r="G12" i="6"/>
  <c r="A12" i="6"/>
  <c r="G11" i="6"/>
  <c r="G10" i="6"/>
  <c r="G9" i="6"/>
</calcChain>
</file>

<file path=xl/sharedStrings.xml><?xml version="1.0" encoding="utf-8"?>
<sst xmlns="http://schemas.openxmlformats.org/spreadsheetml/2006/main" count="823" uniqueCount="354">
  <si>
    <t>LIVRO 1 — PRIMEIROS PASSOS</t>
  </si>
  <si>
    <t>UFCD 0778 — Folha de cálculo | Livro 1 — Primeiros passos</t>
  </si>
  <si>
    <t>FINALIDADE DO LIVRO</t>
  </si>
  <si>
    <t>Este ficheiro é a base prática das TI01 e TI02. Na TI01, organize a estrutura do livro. Na TI02, trabalhe os dados de produtos, fornecedores, movimentos e séries. Preserve a versão entregue na TI01 antes de iniciar a TI02.</t>
  </si>
  <si>
    <t>TI01 — ORGANIZAR O LIVRO</t>
  </si>
  <si>
    <t>1</t>
  </si>
  <si>
    <t>Guarde o ficheiro com o nome indicado no enunciado da TI01.</t>
  </si>
  <si>
    <t>2</t>
  </si>
  <si>
    <t>Mude o nome da folha STOCK para PRODUTOS.</t>
  </si>
  <si>
    <t>3</t>
  </si>
  <si>
    <t>Mova FORNECEDORES para ficar imediatamente depois de PRODUTOS.</t>
  </si>
  <si>
    <t>4</t>
  </si>
  <si>
    <t>Copie MODELO_MOVIMENTOS e dê à cópia o nome MOVIMENTOS.</t>
  </si>
  <si>
    <t>5</t>
  </si>
  <si>
    <t>Mova MOVIMENTOS para ficar depois de FORNECEDORES.</t>
  </si>
  <si>
    <t>6</t>
  </si>
  <si>
    <t>Elimine a folha RASCUNHO depois de confirmar que não contém informação útil.</t>
  </si>
  <si>
    <t>Mova MODELO_MOVIMENTOS para o fim e oculte-a; mantenha-a como cópia de segurança.</t>
  </si>
  <si>
    <t>TI02 — INTRODUZIR, CORRIGIR E COMPLETAR DADOS</t>
  </si>
  <si>
    <t>Crie uma nova cópia do ficheiro da TI01 e guarde-a com o nome indicado no enunciado da TI02.</t>
  </si>
  <si>
    <t>Em PRODUTOS, corrija as incoerências assinaladas e complete os campos vazios a partir do contexto dos restantes registos.</t>
  </si>
  <si>
    <t>Em FORNECEDORES, uniformize nomes, localidades e contactos; desloque os valores que estejam na coluna errada.</t>
  </si>
  <si>
    <t>Em MOVIMENTOS, corrija e complete os registos, remova apenas o duplicado identificado e organize os 30 movimentos finais por ordem cronológica.</t>
  </si>
  <si>
    <t>Pratique a seleção de intervalos contínuos e não adjacentes diretamente nas três bases, seguindo os desafios apresentados.</t>
  </si>
  <si>
    <t>Complete as sequências da folha SÉRIES utilizando a alça de preenchimento e as opções de preenchimento automático.</t>
  </si>
  <si>
    <t>Conclua o DESAFIO FINAL sem instruções passo a passo.</t>
  </si>
  <si>
    <t>Use VERIFICAÇÃO apenas no final, como controlo breve do trabalho realizado.</t>
  </si>
  <si>
    <t>Código visual: azul = informação fornecida; amarelo = área a completar/corrigir; salmão = incoerência propositada. Não aplique ainda fórmulas, filtros, tabelas ou formatação avançada.</t>
  </si>
  <si>
    <t>BASE DE PRODUTOS</t>
  </si>
  <si>
    <t>TI02 | Corrija as células a salmão e complete as amarelas. Há códigos inconsistentes, categorias escritas de formas diferentes, um produto repetido, um preço em falta e campos vazios. Não use fórmulas.</t>
  </si>
  <si>
    <t>Código</t>
  </si>
  <si>
    <t>Produto</t>
  </si>
  <si>
    <t>Categoria</t>
  </si>
  <si>
    <t>Unidade</t>
  </si>
  <si>
    <t>Fornecedor</t>
  </si>
  <si>
    <t>Preço unitário</t>
  </si>
  <si>
    <t>Stock inicial</t>
  </si>
  <si>
    <t>Stock mínimo</t>
  </si>
  <si>
    <t>Data de entrada</t>
  </si>
  <si>
    <t>Observações</t>
  </si>
  <si>
    <t>PRD-001</t>
  </si>
  <si>
    <t>Papel A4 80 g</t>
  </si>
  <si>
    <t>Papelaria</t>
  </si>
  <si>
    <t>Resma</t>
  </si>
  <si>
    <t>F01</t>
  </si>
  <si>
    <t>PRD-002</t>
  </si>
  <si>
    <t>Caneta azul</t>
  </si>
  <si>
    <t>Escrita</t>
  </si>
  <si>
    <t>F02</t>
  </si>
  <si>
    <t>PRD-003</t>
  </si>
  <si>
    <t>Caneta preta</t>
  </si>
  <si>
    <t>PRD-004</t>
  </si>
  <si>
    <t>Lápis HB</t>
  </si>
  <si>
    <t>PRD-005</t>
  </si>
  <si>
    <t>Borracha branca</t>
  </si>
  <si>
    <t>PRD-006</t>
  </si>
  <si>
    <t>Marcador permanente</t>
  </si>
  <si>
    <t>F03</t>
  </si>
  <si>
    <t>PRD-007</t>
  </si>
  <si>
    <t>Pasta de arquivo A4</t>
  </si>
  <si>
    <t>Arquivo</t>
  </si>
  <si>
    <t>PRD-008</t>
  </si>
  <si>
    <t>Separadores A4</t>
  </si>
  <si>
    <t>Conjunto</t>
  </si>
  <si>
    <t>PRD-009</t>
  </si>
  <si>
    <t>Agrafador médio</t>
  </si>
  <si>
    <t>Equipamento</t>
  </si>
  <si>
    <t>F04</t>
  </si>
  <si>
    <t>PRD-010</t>
  </si>
  <si>
    <t>Agrafos 24/6</t>
  </si>
  <si>
    <t>Consumíveis</t>
  </si>
  <si>
    <t>Caixa</t>
  </si>
  <si>
    <t>PRD-011</t>
  </si>
  <si>
    <t>Furador de 2 furos</t>
  </si>
  <si>
    <t>PRD-012</t>
  </si>
  <si>
    <t>Clipes nº 2</t>
  </si>
  <si>
    <t>PRD-013</t>
  </si>
  <si>
    <t>Notas adesivas</t>
  </si>
  <si>
    <t>Bloco</t>
  </si>
  <si>
    <t>PRD-014</t>
  </si>
  <si>
    <t>Envelope C5</t>
  </si>
  <si>
    <t>Pacote</t>
  </si>
  <si>
    <t>PRD-015</t>
  </si>
  <si>
    <t>Envelope DL</t>
  </si>
  <si>
    <t>PRD-016</t>
  </si>
  <si>
    <t>Rato sem fios</t>
  </si>
  <si>
    <t>Informática</t>
  </si>
  <si>
    <t>F05</t>
  </si>
  <si>
    <t>PRD-017</t>
  </si>
  <si>
    <t>Teclado USB</t>
  </si>
  <si>
    <t>PRD-018</t>
  </si>
  <si>
    <t>Pen USB 32 GB</t>
  </si>
  <si>
    <t>PRD-019</t>
  </si>
  <si>
    <t>Cabo HDMI 2 m</t>
  </si>
  <si>
    <t>PRD-020</t>
  </si>
  <si>
    <t>Extensão elétrica</t>
  </si>
  <si>
    <t>F06</t>
  </si>
  <si>
    <t>PRD-021</t>
  </si>
  <si>
    <t>Pilha AA</t>
  </si>
  <si>
    <t>Pack</t>
  </si>
  <si>
    <t>PRD-022</t>
  </si>
  <si>
    <t>Pilha AAA</t>
  </si>
  <si>
    <t>PRD-023</t>
  </si>
  <si>
    <t>Calculadora básica</t>
  </si>
  <si>
    <t>PRD-024</t>
  </si>
  <si>
    <t>Tesoura 18 cm</t>
  </si>
  <si>
    <t>PRD-025</t>
  </si>
  <si>
    <t>Cola em stick</t>
  </si>
  <si>
    <t>PRD-026</t>
  </si>
  <si>
    <t>Caderno A5 pautado</t>
  </si>
  <si>
    <t>PRD-027</t>
  </si>
  <si>
    <t>Quadro branco A3</t>
  </si>
  <si>
    <t>PRD-028</t>
  </si>
  <si>
    <t>Spray de limpeza</t>
  </si>
  <si>
    <t>Limpeza</t>
  </si>
  <si>
    <t>PRD-029</t>
  </si>
  <si>
    <t>Pano microfibras</t>
  </si>
  <si>
    <t>PRD-030</t>
  </si>
  <si>
    <t>Dossier A4</t>
  </si>
  <si>
    <t>DESAFIOS DE SELEÇÃO | Selecione: A9:J38; depois apenas Código, Produto e Categoria; as linhas dos produtos de Informática; e, por fim, três intervalos não adjacentes contendo Código, Preço e Stock mínimo.</t>
  </si>
  <si>
    <t>BASE DE FORNECEDORES</t>
  </si>
  <si>
    <t>TI02 | Uniformize a escrita, complete os campos vazios e desloque os dados colocados na coluna errada. Não invente novos fornecedores.</t>
  </si>
  <si>
    <t>Contacto</t>
  </si>
  <si>
    <t>Telefone</t>
  </si>
  <si>
    <t>E-mail</t>
  </si>
  <si>
    <t>Localidade</t>
  </si>
  <si>
    <t>Prazo entrega (dias)</t>
  </si>
  <si>
    <t>Papel &amp; Companhia</t>
  </si>
  <si>
    <t>Marta Reis</t>
  </si>
  <si>
    <t>geral@papelcompanhia.pt</t>
  </si>
  <si>
    <t>Lisboa</t>
  </si>
  <si>
    <t>Escrita Certa, Lda.</t>
  </si>
  <si>
    <t>João Luz</t>
  </si>
  <si>
    <t>comercial@escritacerta.pt</t>
  </si>
  <si>
    <t>Loures</t>
  </si>
  <si>
    <t>Office Mais</t>
  </si>
  <si>
    <t>Sara Mota</t>
  </si>
  <si>
    <t>vendas@officemais.pt</t>
  </si>
  <si>
    <t>Sintra</t>
  </si>
  <si>
    <t>EquipOffice</t>
  </si>
  <si>
    <t>Nuno Vale</t>
  </si>
  <si>
    <t>apoio@equipoffice.pt</t>
  </si>
  <si>
    <t>Tech Desk</t>
  </si>
  <si>
    <t>Rita Cruz</t>
  </si>
  <si>
    <t>compras@techdesk.pt</t>
  </si>
  <si>
    <t>Porto</t>
  </si>
  <si>
    <t>Serviços Úteis</t>
  </si>
  <si>
    <t>Paulo Dias</t>
  </si>
  <si>
    <t>geral@servicosuteis.pt</t>
  </si>
  <si>
    <t>Vila Franca de Xira</t>
  </si>
  <si>
    <t>DESAFIOS DE EDIÇÃO | Copie os códigos e nomes para uma área temporária; mova os contactos para outra posição; corrija uma célula diretamente e outra através da barra de fórmulas; limpe no fim apenas o conteúdo da área temporária.</t>
  </si>
  <si>
    <t>MODELO — REGISTO DE MOVIMENTOS</t>
  </si>
  <si>
    <t>TI01 | Copie esta folha e dê à cópia o nome MOVIMENTOS. TI02 | Trabalhe apenas na cópia. Complete os campos amarelos, corrija as células a salmão e mantenha este modelo oculto como segurança.</t>
  </si>
  <si>
    <t>Movimento</t>
  </si>
  <si>
    <t>Data</t>
  </si>
  <si>
    <t>Hora</t>
  </si>
  <si>
    <t>Código produto</t>
  </si>
  <si>
    <t>Tipo</t>
  </si>
  <si>
    <t>Quantidade</t>
  </si>
  <si>
    <t>Documento</t>
  </si>
  <si>
    <t>Responsável</t>
  </si>
  <si>
    <t>Destino/Origem</t>
  </si>
  <si>
    <t>MOV-001</t>
  </si>
  <si>
    <t>Entrada</t>
  </si>
  <si>
    <t>DOC-2026001</t>
  </si>
  <si>
    <t>Ana</t>
  </si>
  <si>
    <t>Armazém central</t>
  </si>
  <si>
    <t>MOV-002</t>
  </si>
  <si>
    <t>Saída</t>
  </si>
  <si>
    <t>DOC-2026002</t>
  </si>
  <si>
    <t>Bruno</t>
  </si>
  <si>
    <t>Sala 2</t>
  </si>
  <si>
    <t>MOV-003</t>
  </si>
  <si>
    <t>DOC-2026003</t>
  </si>
  <si>
    <t>Carla</t>
  </si>
  <si>
    <t>Administração</t>
  </si>
  <si>
    <t>MOV-004</t>
  </si>
  <si>
    <t>DOC-2026004</t>
  </si>
  <si>
    <t>Diogo</t>
  </si>
  <si>
    <t>MOV-005</t>
  </si>
  <si>
    <t>DOC-2026005</t>
  </si>
  <si>
    <t>MOV-006</t>
  </si>
  <si>
    <t>DOC-2026006</t>
  </si>
  <si>
    <t>MOV-007</t>
  </si>
  <si>
    <t>DOC-2026007</t>
  </si>
  <si>
    <t>MOV-008</t>
  </si>
  <si>
    <t>DOC-2026008</t>
  </si>
  <si>
    <t>MOV-009</t>
  </si>
  <si>
    <t>DOC-2026009</t>
  </si>
  <si>
    <t>MOV-010</t>
  </si>
  <si>
    <t>DOC-2026010</t>
  </si>
  <si>
    <t>MOV-011</t>
  </si>
  <si>
    <t>DOC-2026011</t>
  </si>
  <si>
    <t>MOV-012</t>
  </si>
  <si>
    <t>DOC-2026012</t>
  </si>
  <si>
    <t>MOV-013</t>
  </si>
  <si>
    <t>DOC-2026013</t>
  </si>
  <si>
    <t>MOV-014</t>
  </si>
  <si>
    <t>DOC-2026014</t>
  </si>
  <si>
    <t>MOV-015</t>
  </si>
  <si>
    <t>DOC-2026015</t>
  </si>
  <si>
    <t>MOV-016</t>
  </si>
  <si>
    <t>DOC-2026016</t>
  </si>
  <si>
    <t>MOV-017</t>
  </si>
  <si>
    <t>DOC-2026017</t>
  </si>
  <si>
    <t>MOV-018</t>
  </si>
  <si>
    <t>DOC-2026018</t>
  </si>
  <si>
    <t>MOV-019</t>
  </si>
  <si>
    <t>DOC-2026019</t>
  </si>
  <si>
    <t>MOV-020</t>
  </si>
  <si>
    <t>DOC-2026020</t>
  </si>
  <si>
    <t>MOV-021</t>
  </si>
  <si>
    <t>DOC-2026021</t>
  </si>
  <si>
    <t>MOV-022</t>
  </si>
  <si>
    <t>DOC-2026022</t>
  </si>
  <si>
    <t>MOV-023</t>
  </si>
  <si>
    <t>DOC-2026023</t>
  </si>
  <si>
    <t>MOV-024</t>
  </si>
  <si>
    <t>DOC-2026024</t>
  </si>
  <si>
    <t>MOV-025</t>
  </si>
  <si>
    <t>DOC-2026025</t>
  </si>
  <si>
    <t>MOV-026</t>
  </si>
  <si>
    <t>DOC-2026026</t>
  </si>
  <si>
    <t>MOV-027</t>
  </si>
  <si>
    <t>DOC-2026027</t>
  </si>
  <si>
    <t>MOV-028</t>
  </si>
  <si>
    <t>DOC-2026028</t>
  </si>
  <si>
    <t>MOV-029</t>
  </si>
  <si>
    <t>DOC-2026029</t>
  </si>
  <si>
    <t>MOV-030</t>
  </si>
  <si>
    <t>DOC-2026030</t>
  </si>
  <si>
    <t>DESAFIO FINAL | Sem seguir passos numerados: corrija e complete a base, elimine apenas o registo duplicado, substitua dois responsáveis por nomes indicados pela formadora, mova o movimento fora de ordem para a posição cronológica correta, copie três registos para uma área temporária, confirme os dados e limpe essa área sem eliminar a formatação.</t>
  </si>
  <si>
    <t>PREENCHIMENTO AUTOMÁTICO E SÉRIES</t>
  </si>
  <si>
    <t>TI02 | Complete cada sequência usando a alça de preenchimento. Não escreva manualmente todos os valores. Os dois primeiros exemplos de cada série indicam o padrão.</t>
  </si>
  <si>
    <t>Exercício</t>
  </si>
  <si>
    <t>Valor 1</t>
  </si>
  <si>
    <t>Valor 2</t>
  </si>
  <si>
    <t>7</t>
  </si>
  <si>
    <t>8</t>
  </si>
  <si>
    <t>9</t>
  </si>
  <si>
    <t>Códigos de produto</t>
  </si>
  <si>
    <t>PRD-031</t>
  </si>
  <si>
    <t>PRD-032</t>
  </si>
  <si>
    <t>PRD-033</t>
  </si>
  <si>
    <t>PRD-034</t>
  </si>
  <si>
    <t>PRD-035</t>
  </si>
  <si>
    <t>PRD-036</t>
  </si>
  <si>
    <t>PRD-037</t>
  </si>
  <si>
    <t>PRD-038</t>
  </si>
  <si>
    <t>PRD-039</t>
  </si>
  <si>
    <t>Movimentos</t>
  </si>
  <si>
    <t>MOV-031</t>
  </si>
  <si>
    <t>MOV-032</t>
  </si>
  <si>
    <t>MOV-033</t>
  </si>
  <si>
    <t>MOV-034</t>
  </si>
  <si>
    <t>MOV-035</t>
  </si>
  <si>
    <t>MOV-036</t>
  </si>
  <si>
    <t>MOV-037</t>
  </si>
  <si>
    <t>MOV-038</t>
  </si>
  <si>
    <t>MOV-039</t>
  </si>
  <si>
    <t>Números consecutivos</t>
  </si>
  <si>
    <t>Incremento de 5</t>
  </si>
  <si>
    <t>Percentagens</t>
  </si>
  <si>
    <t>Datas diárias</t>
  </si>
  <si>
    <t>Datas úteis</t>
  </si>
  <si>
    <t>Meses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</si>
  <si>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</si>
  <si>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</si>
  <si>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</si>
  <si>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</si>
  <si>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</si>
  <si>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</si>
  <si>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</si>
  <si>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</si>
  <si>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</si>
  <si>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Horários</t>
  </si>
  <si>
    <t>Semanas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</si>
  <si>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</si>
  <si>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</si>
  <si>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</si>
  <si>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</si>
  <si>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</si>
  <si>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</si>
  <si>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</si>
  <si>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</si>
  <si>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</si>
  <si>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DESAFIO | Crie, abaixo, uma série personalizada adequada ao contexto da formação (por exemplo, níveis de prioridade ou estados de tratamento). Escreva os dois primeiros elementos e complete pelo menos oito posições.</t>
  </si>
  <si>
    <t>Desafio — Série personalizada</t>
  </si>
  <si>
    <t>Estado</t>
  </si>
  <si>
    <t>Pendente</t>
  </si>
  <si>
    <t>Em análise</t>
  </si>
  <si>
    <t>Em curso</t>
  </si>
  <si>
    <t>Em revisão</t>
  </si>
  <si>
    <t>Concluído</t>
  </si>
  <si>
    <t>Arquivado</t>
  </si>
  <si>
    <t>Cancelado</t>
  </si>
  <si>
    <t>Suspenso</t>
  </si>
  <si>
    <t>Devolvido</t>
  </si>
  <si>
    <t>Encerrado</t>
  </si>
  <si>
    <t>VERIFICAÇÃO FINAL</t>
  </si>
  <si>
    <t>Utilize esta lista apenas depois de concluir o trabalho. Assinale com X e corrija o que ainda não estiver concluído.</t>
  </si>
  <si>
    <t>✓</t>
  </si>
  <si>
    <t>Critério</t>
  </si>
  <si>
    <t>Observação</t>
  </si>
  <si>
    <t>X</t>
  </si>
  <si>
    <t>O ficheiro da TI01 foi preservado antes de iniciar a TI02.</t>
  </si>
  <si>
    <t>As folhas têm os nomes, a ordem e a organização pedidos.</t>
  </si>
  <si>
    <t>A folha RASCUNHO foi eliminada e o modelo de movimentos foi preservado.</t>
  </si>
  <si>
    <t>A folha PRODUTOS contém 30 produtos distintos e dados coerentes.</t>
  </si>
  <si>
    <t>A base FORNECEDORES foi corrigida sem criar registos novos.</t>
  </si>
  <si>
    <t>A base MOVIMENTOS contém 30 registos distintos, completos e organizados cronologicamente.</t>
  </si>
  <si>
    <t>Datas, horas, percentagens, números e texto foram introduzidos com tipos de dados adequados.</t>
  </si>
  <si>
    <t>As operações de seleção, cópia, deslocação, substituição e limpeza foram praticadas.</t>
  </si>
  <si>
    <t>As séries foram completadas por preenchimento automático.</t>
  </si>
  <si>
    <t>O desafio final foi concluído e as áreas temporárias ficaram limpas.</t>
  </si>
  <si>
    <t>RESUMO AUTOMÁTICO DA RESOLUÇÃO</t>
  </si>
  <si>
    <t>Os exercícios-base mantêm os dados pedidos; esta área usa fórmulas para validar e resumir o trabalho.</t>
  </si>
  <si>
    <t>Indicador</t>
  </si>
  <si>
    <t>Resultado</t>
  </si>
  <si>
    <t>Produtos registados</t>
  </si>
  <si>
    <t>Fornecedores registados</t>
  </si>
  <si>
    <t>Movimentos registados</t>
  </si>
  <si>
    <t>Quantidade total de entradas</t>
  </si>
  <si>
    <t>Quantidade total de saídas</t>
  </si>
  <si>
    <t>Valor do stock inicial</t>
  </si>
  <si>
    <t>PRD005</t>
  </si>
  <si>
    <t>Hora em falta</t>
  </si>
  <si>
    <t>18/07</t>
  </si>
  <si>
    <t>Data incompleta</t>
  </si>
  <si>
    <t>PRD-99</t>
  </si>
  <si>
    <t>Código inconsistente</t>
  </si>
  <si>
    <t>Duplicado: eliminar apenas este registo</t>
  </si>
  <si>
    <t>Quantidade em falta</t>
  </si>
  <si>
    <t>Fora de ordem: mover para a posição cronológica correta</t>
  </si>
  <si>
    <t>Categoria uniformizada: Escrita.</t>
  </si>
  <si>
    <t>Código corrigido para PRD-005.</t>
  </si>
  <si>
    <t>Preço unitário completado: 0,95 €.</t>
  </si>
  <si>
    <t>Categoria uniformizada: Informática.</t>
  </si>
  <si>
    <t>Registo substituído por PRD-030 — Dossier A4, conforme indicação.</t>
  </si>
  <si>
    <t>Código do produto corrigido para PRD-005.</t>
  </si>
  <si>
    <t>Hora completada: 00:30.</t>
  </si>
  <si>
    <t>Data completada: 18-07-2026.</t>
  </si>
  <si>
    <t>Hora corrigida para 17:30.</t>
  </si>
  <si>
    <t>Código do produto corrigido para PRD-019.</t>
  </si>
  <si>
    <t>Duplicado removido; mantido este registo válido.</t>
  </si>
  <si>
    <t>Registo reposicionado por ordem cronológica.</t>
  </si>
  <si>
    <t>Quantidade completada: 1.</t>
  </si>
  <si>
    <t>Séries preenchidas: 90 de 90 valores.</t>
  </si>
  <si>
    <t>Desafio completo: 10 de 10 estados.</t>
  </si>
  <si>
    <t>Mínimo esperado</t>
  </si>
  <si>
    <t>Telefone em falta: 214445566</t>
  </si>
  <si>
    <t>Uniformizar localidade</t>
  </si>
  <si>
    <t>E-mail e localidade estão trocados</t>
  </si>
  <si>
    <t>Uniformizar nome: Serviços Úteis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</si>
</sst>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(* #,##0.00_);_(* \(#,##0.00\);_(* \-??_);_(@_)"/>
    <numFmt numFmtId="165" formatCode="_(* #,##0_);_(* \(#,##0\);_(* \-_);_(@_)"/>
    <numFmt numFmtId="166" formatCode="_(\$* #,##0.00_);_(\$* \(#,##0.00\);_(\$* \-??_);_(@_)"/>
    <numFmt numFmtId="167" formatCode="_(\$* #,##0_);_(\$* \(#,##0\);_(\$* \-_);_(@_)"/>
    <numFmt numFmtId="168" formatCode="&quot;€ &quot;#,##0.00"/>
    <numFmt numFmtId="169" formatCode="dd\-mm\-yyyy"/>
    <numFmt numFmtId="170" formatCode="h:mm"/>
    <numFmt numFmtId="171" formatCode="yyyy\-mm\-dd\ h:mm:ss"/>
    <numFmt numFmtId="172" formatCode="h:mm:ss"/>
    <numFmt numFmtId="173" formatCode="yyyy\-mm\-dd"/>
    <numFmt numFmtId="174" formatCode="#,##0.00\ [$€-816]"/>
  </numFmts>
  <fonts count="12">
    <font>
      <sz val="10"/>
      <name val="Arial"/>
    </font>
    <font>
      <sz val="11"/>
      <name val="Calibri"/>
    </font>
    <font>
      <b/>
      <sz val="18"/>
      <color rgb="FFFFFFFF"/>
      <name val="Aptos Display"/>
    </font>
    <font>
      <sz val="10"/>
      <color rgb="FF263238"/>
      <name val="Aptos"/>
    </font>
    <font>
      <b/>
      <sz val="10"/>
      <color rgb="FF185C37"/>
      <name val="Aptos"/>
    </font>
    <font>
      <b/>
      <sz val="11"/>
      <color rgb="FFFFFFFF"/>
      <name val="Aptos"/>
    </font>
    <font>
      <b/>
      <sz val="10"/>
      <color rgb="FFFFFFFF"/>
      <name val="Aptos"/>
    </font>
    <font>
      <sz val="10"/>
      <name val="Arial"/>
    </font>
    <font>
      <b/>
      <sz val="10"/>
      <color rgb="FF375623"/>
      <name val="Aptos"/>
    </font>
    <font>
      <sz val="10"/>
      <color rgb="FF1F4E78"/>
      <name val="Aptos"/>
    </font>
    <font>
      <b/>
      <sz val="14"/>
      <color rgb="FFFFFFFF"/>
      <name val="Aptos"/>
    </font>
    <font>
      <i/>
      <sz val="10"/>
      <color rgb="FF1F1F1F"/>
      <name val="Aptos"/>
    </font>
  </fonts>
  <fills count="17">
    <fill>
      <patternFill patternType="none"/>
    </fill>
    <fill>
      <patternFill patternType="gray125"/>
    </fill>
    <fill>
      <patternFill patternType="solid">
        <fgColor rgb="FF185C37"/>
      </patternFill>
    </fill>
    <fill>
      <patternFill patternType="solid">
        <fgColor rgb="FFE2F0D9"/>
      </patternFill>
    </fill>
    <fill>
      <patternFill patternType="solid">
        <fgColor rgb="FF217346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rgb="FFEAF3F8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F7FBFE"/>
      </patternFill>
    </fill>
    <fill>
      <patternFill patternType="solid">
        <fgColor rgb="FFF2F2F2"/>
      </patternFill>
    </fill>
    <fill>
      <patternFill patternType="solid">
        <fgColor rgb="FFA6A6A6"/>
      </patternFill>
    </fill>
  </fills>
  <borders count="6">
    <border>
      <left/>
      <right/>
      <top/>
      <bottom/>
      <diagonal/>
    </border>
    <border>
      <left style="thin">
        <color rgb="FFB7C9BD"/>
      </left>
      <right style="thin">
        <color rgb="FFB7C9BD"/>
      </right>
      <top style="thin">
        <color rgb="FFB7C9BD"/>
      </top>
      <bottom style="thin">
        <color rgb="FFB7C9BD"/>
      </bottom>
      <diagonal/>
    </border>
    <border>
      <left/>
      <right/>
      <top style="thin">
        <color rgb="FFB7C9BD"/>
      </top>
      <bottom/>
      <diagonal/>
    </border>
    <border>
      <left/>
      <right style="thin">
        <color rgb="FFB7C9BD"/>
      </right>
      <top style="thin">
        <color rgb="FFB7C9BD"/>
      </top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7">
    <xf numFmtId="0" fontId="0" fillId="0" borderId="0"/>
    <xf numFmtId="164" fontId="7" fillId="0" borderId="0"/>
    <xf numFmtId="165" fontId="7" fillId="0" borderId="0"/>
    <xf numFmtId="166" fontId="7" fillId="0" borderId="0"/>
    <xf numFmtId="167" fontId="7" fillId="0" borderId="0"/>
    <xf numFmtId="0" fontId="1" fillId="0" borderId="0"/>
    <xf numFmtId="9" fontId="7" fillId="0" borderId="0"/>
  </cellStyleXfs>
  <cellXfs count="55">
    <xf numFmtId="0" fontId="0" fillId="0" borderId="0" xfId="0"/>
    <xf numFmtId="0" fontId="6" fillId="4" borderId="1" xfId="5" applyFont="1" applyFill="1" applyBorder="1" applyAlignment="1">
      <alignment horizontal="center" vertical="center" wrapText="1"/>
    </xf>
    <xf numFmtId="0" fontId="3" fillId="0" borderId="0" xfId="5" applyFont="1"/>
    <xf numFmtId="0" fontId="4" fillId="3" borderId="1" xfId="5" applyFont="1" applyFill="1" applyBorder="1" applyAlignment="1">
      <alignment horizontal="center"/>
    </xf>
    <xf numFmtId="0" fontId="4" fillId="6" borderId="1" xfId="5" applyFont="1" applyFill="1" applyBorder="1" applyAlignment="1">
      <alignment horizontal="center"/>
    </xf>
    <xf numFmtId="0" fontId="3" fillId="0" borderId="1" xfId="5" applyFont="1" applyBorder="1"/>
    <xf numFmtId="168" fontId="3" fillId="0" borderId="1" xfId="5" applyNumberFormat="1" applyFont="1" applyBorder="1"/>
    <xf numFmtId="1" fontId="3" fillId="0" borderId="1" xfId="5" applyNumberFormat="1" applyFont="1" applyBorder="1"/>
    <xf numFmtId="169" fontId="3" fillId="0" borderId="1" xfId="5" applyNumberFormat="1" applyFont="1" applyBorder="1"/>
    <xf numFmtId="0" fontId="3" fillId="8" borderId="1" xfId="5" applyFont="1" applyFill="1" applyBorder="1"/>
    <xf numFmtId="168" fontId="3" fillId="6" borderId="1" xfId="5" applyNumberFormat="1" applyFont="1" applyFill="1" applyBorder="1"/>
    <xf numFmtId="0" fontId="3" fillId="6" borderId="1" xfId="5" applyFont="1" applyFill="1" applyBorder="1"/>
    <xf numFmtId="168" fontId="3" fillId="8" borderId="1" xfId="5" applyNumberFormat="1" applyFont="1" applyFill="1" applyBorder="1"/>
    <xf numFmtId="1" fontId="3" fillId="8" borderId="1" xfId="5" applyNumberFormat="1" applyFont="1" applyFill="1" applyBorder="1"/>
    <xf numFmtId="169" fontId="3" fillId="8" borderId="1" xfId="5" applyNumberFormat="1" applyFont="1" applyFill="1" applyBorder="1"/>
    <xf numFmtId="0" fontId="3" fillId="8" borderId="1" xfId="5" applyFont="1" applyFill="1" applyBorder="1" applyAlignment="1">
      <alignment wrapText="1"/>
    </xf>
    <xf numFmtId="170" fontId="3" fillId="0" borderId="1" xfId="5" applyNumberFormat="1" applyFont="1" applyBorder="1"/>
    <xf numFmtId="170" fontId="3" fillId="6" borderId="1" xfId="5" applyNumberFormat="1" applyFont="1" applyFill="1" applyBorder="1"/>
    <xf numFmtId="170" fontId="3" fillId="8" borderId="1" xfId="5" applyNumberFormat="1" applyFont="1" applyFill="1" applyBorder="1"/>
    <xf numFmtId="171" fontId="0" fillId="0" borderId="0" xfId="0" applyNumberFormat="1"/>
    <xf numFmtId="172" fontId="0" fillId="0" borderId="0" xfId="0" applyNumberFormat="1"/>
    <xf numFmtId="1" fontId="3" fillId="6" borderId="1" xfId="5" applyNumberFormat="1" applyFont="1" applyFill="1" applyBorder="1"/>
    <xf numFmtId="9" fontId="3" fillId="0" borderId="1" xfId="5" applyNumberFormat="1" applyFont="1" applyBorder="1"/>
    <xf numFmtId="9" fontId="3" fillId="6" borderId="1" xfId="5" applyNumberFormat="1" applyFont="1" applyFill="1" applyBorder="1"/>
    <xf numFmtId="173" fontId="3" fillId="6" borderId="1" xfId="5" applyNumberFormat="1" applyFont="1" applyFill="1" applyBorder="1"/>
    <xf numFmtId="20" fontId="3" fillId="6" borderId="1" xfId="5" applyNumberFormat="1" applyFont="1" applyFill="1" applyBorder="1"/>
    <xf numFmtId="169" fontId="3" fillId="0" borderId="0" xfId="0" applyNumberFormat="1" applyFont="1"/>
    <xf numFmtId="170" fontId="3" fillId="0" borderId="0" xfId="0" applyNumberFormat="1" applyFont="1"/>
    <xf numFmtId="169" fontId="3" fillId="0" borderId="2" xfId="5" applyNumberFormat="1" applyFont="1" applyBorder="1"/>
    <xf numFmtId="170" fontId="3" fillId="0" borderId="2" xfId="5" applyNumberFormat="1" applyFont="1" applyBorder="1"/>
    <xf numFmtId="0" fontId="3" fillId="0" borderId="2" xfId="5" applyFont="1" applyBorder="1"/>
    <xf numFmtId="1" fontId="3" fillId="0" borderId="2" xfId="5" applyNumberFormat="1" applyFont="1" applyBorder="1"/>
    <xf numFmtId="0" fontId="3" fillId="0" borderId="3" xfId="5" applyFont="1" applyBorder="1"/>
    <xf numFmtId="0" fontId="8" fillId="9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vertical="center" wrapText="1"/>
    </xf>
    <xf numFmtId="0" fontId="6" fillId="13" borderId="4" xfId="0" applyFont="1" applyFill="1" applyBorder="1" applyAlignment="1">
      <alignment horizontal="center" vertical="center"/>
    </xf>
    <xf numFmtId="0" fontId="3" fillId="14" borderId="5" xfId="0" applyFont="1" applyFill="1" applyBorder="1" applyAlignment="1">
      <alignment vertical="center"/>
    </xf>
    <xf numFmtId="3" fontId="3" fillId="14" borderId="5" xfId="0" applyNumberFormat="1" applyFont="1" applyFill="1" applyBorder="1" applyAlignment="1">
      <alignment vertical="center"/>
    </xf>
    <xf numFmtId="174" fontId="3" fillId="14" borderId="5" xfId="0" applyNumberFormat="1" applyFont="1" applyFill="1" applyBorder="1" applyAlignment="1">
      <alignment vertical="center"/>
    </xf>
    <xf numFmtId="0" fontId="8" fillId="9" borderId="5" xfId="0" applyFont="1" applyFill="1" applyBorder="1" applyAlignment="1">
      <alignment horizontal="center" vertical="center"/>
    </xf>
    <xf numFmtId="0" fontId="3" fillId="15" borderId="5" xfId="0" applyFont="1" applyFill="1" applyBorder="1" applyAlignment="1">
      <alignment horizontal="center" vertical="center"/>
    </xf>
    <xf numFmtId="0" fontId="6" fillId="16" borderId="5" xfId="0" applyFont="1" applyFill="1" applyBorder="1" applyAlignment="1">
      <alignment horizontal="center" vertical="center"/>
    </xf>
    <xf numFmtId="0" fontId="10" fillId="11" borderId="0" xfId="0" applyFont="1" applyFill="1" applyAlignment="1">
      <alignment horizontal="left" vertical="center"/>
    </xf>
    <xf numFmtId="0" fontId="11" fillId="12" borderId="0" xfId="0" applyFont="1" applyFill="1" applyAlignment="1">
      <alignment vertical="center" wrapText="1"/>
    </xf>
    <xf numFmtId="0" fontId="2" fillId="2" borderId="0" xfId="5" applyFont="1" applyFill="1" applyAlignment="1">
      <alignment horizontal="left" vertical="center"/>
    </xf>
    <xf numFmtId="0" fontId="4" fillId="3" borderId="0" xfId="5" applyFont="1" applyFill="1" applyAlignment="1">
      <alignment vertical="center"/>
    </xf>
    <xf numFmtId="0" fontId="3" fillId="5" borderId="1" xfId="5" applyFont="1" applyFill="1" applyBorder="1" applyAlignment="1">
      <alignment vertical="center" wrapText="1"/>
    </xf>
    <xf numFmtId="0" fontId="6" fillId="4" borderId="1" xfId="5" applyFont="1" applyFill="1" applyBorder="1" applyAlignment="1">
      <alignment horizontal="center" vertical="center" wrapText="1"/>
    </xf>
    <xf numFmtId="0" fontId="3" fillId="0" borderId="1" xfId="5" applyFont="1" applyBorder="1" applyAlignment="1">
      <alignment wrapText="1"/>
    </xf>
    <xf numFmtId="0" fontId="3" fillId="6" borderId="1" xfId="5" applyFont="1" applyFill="1" applyBorder="1" applyAlignment="1">
      <alignment vertical="center" wrapText="1"/>
    </xf>
    <xf numFmtId="0" fontId="3" fillId="0" borderId="1" xfId="0" applyFont="1" applyBorder="1" applyAlignment="1">
      <alignment wrapText="1"/>
    </xf>
    <xf numFmtId="0" fontId="5" fillId="4" borderId="0" xfId="5" applyFont="1" applyFill="1" applyAlignment="1">
      <alignment vertical="center"/>
    </xf>
    <xf numFmtId="0" fontId="3" fillId="7" borderId="1" xfId="5" applyFont="1" applyFill="1" applyBorder="1" applyAlignment="1">
      <alignment vertical="center" wrapText="1"/>
    </xf>
    <xf numFmtId="0" fontId="3" fillId="5" borderId="2" xfId="5" applyFont="1" applyFill="1" applyBorder="1" applyAlignment="1">
      <alignment horizontal="left" vertical="center" wrapText="1"/>
    </xf>
    <xf numFmtId="0" fontId="3" fillId="5" borderId="0" xfId="5" applyFont="1" applyFill="1" applyAlignment="1">
      <alignment horizontal="left" vertical="center" wrapText="1"/>
    </xf>
  </cellXfs>
  <cellStyles count="7">
    <cellStyle name="Comma" xfId="1" xr:uid="{00000000-0005-0000-0000-000000000000}"/>
    <cellStyle name="Comma [0]" xfId="2" xr:uid="{00000000-0005-0000-0000-000001000000}"/>
    <cellStyle name="Currency" xfId="3" xr:uid="{00000000-0005-0000-0000-000002000000}"/>
    <cellStyle name="Currency [0]" xfId="4" xr:uid="{00000000-0005-0000-0000-000003000000}"/>
    <cellStyle name="Normal" xfId="0" builtinId="0"/>
    <cellStyle name="Normal 2" xfId="5" xr:uid="{00000000-0005-0000-0000-000005000000}"/>
    <cellStyle name="Percent" xfId="6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85C37"/>
      <rgbColor rgb="FF000080"/>
      <rgbColor rgb="FF808000"/>
      <rgbColor rgb="FF800080"/>
      <rgbColor rgb="FF217346"/>
      <rgbColor rgb="FFB7C9BD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6323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0"/>
  <sheetViews>
    <sheetView showGridLines="0" workbookViewId="0">
      <selection sqref="A1:I2"/>
    </sheetView>
  </sheetViews>
  <sheetFormatPr defaultColWidth="8.7109375" defaultRowHeight="12.75"/>
  <cols>
    <col min="1" max="1" width="5" customWidth="1"/>
    <col min="2" max="9" width="18.42578125" customWidth="1"/>
  </cols>
  <sheetData>
    <row r="1" spans="1:12">
      <c r="A1" s="44" t="s">
        <v>0</v>
      </c>
      <c r="B1" s="44"/>
      <c r="C1" s="44"/>
      <c r="D1" s="44"/>
      <c r="E1" s="44"/>
      <c r="F1" s="44"/>
      <c r="G1" s="44"/>
      <c r="H1" s="44"/>
      <c r="I1" s="44"/>
      <c r="J1" s="2"/>
      <c r="K1" s="2"/>
      <c r="L1" s="2"/>
    </row>
    <row r="2" spans="1:12">
      <c r="A2" s="44"/>
      <c r="B2" s="44"/>
      <c r="C2" s="44"/>
      <c r="D2" s="44"/>
      <c r="E2" s="44"/>
      <c r="F2" s="44"/>
      <c r="G2" s="44"/>
      <c r="H2" s="44"/>
      <c r="I2" s="44"/>
      <c r="J2" s="2"/>
      <c r="K2" s="2"/>
      <c r="L2" s="2"/>
    </row>
    <row r="3" spans="1:12">
      <c r="A3" s="45" t="s">
        <v>1</v>
      </c>
      <c r="B3" s="45"/>
      <c r="C3" s="45"/>
      <c r="D3" s="45"/>
      <c r="E3" s="45"/>
      <c r="F3" s="45"/>
      <c r="G3" s="45"/>
      <c r="H3" s="45"/>
      <c r="I3" s="45"/>
      <c r="J3" s="2"/>
      <c r="K3" s="2"/>
      <c r="L3" s="2"/>
    </row>
    <row r="4" spans="1:1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15">
      <c r="A5" s="51" t="s">
        <v>2</v>
      </c>
      <c r="B5" s="51"/>
      <c r="C5" s="51"/>
      <c r="D5" s="51"/>
      <c r="E5" s="51"/>
      <c r="F5" s="51"/>
      <c r="G5" s="51"/>
      <c r="H5" s="51"/>
      <c r="I5" s="51"/>
      <c r="J5" s="2"/>
      <c r="K5" s="2"/>
      <c r="L5" s="2"/>
    </row>
    <row r="6" spans="1:12">
      <c r="A6" s="46" t="s">
        <v>3</v>
      </c>
      <c r="B6" s="46"/>
      <c r="C6" s="46"/>
      <c r="D6" s="46"/>
      <c r="E6" s="46"/>
      <c r="F6" s="46"/>
      <c r="G6" s="46"/>
      <c r="H6" s="46"/>
      <c r="I6" s="46"/>
      <c r="J6" s="2"/>
      <c r="K6" s="2"/>
      <c r="L6" s="2"/>
    </row>
    <row r="7" spans="1:12">
      <c r="A7" s="46"/>
      <c r="B7" s="46"/>
      <c r="C7" s="46"/>
      <c r="D7" s="46"/>
      <c r="E7" s="46"/>
      <c r="F7" s="46"/>
      <c r="G7" s="46"/>
      <c r="H7" s="46"/>
      <c r="I7" s="46"/>
      <c r="J7" s="2"/>
      <c r="K7" s="2"/>
      <c r="L7" s="2"/>
    </row>
    <row r="8" spans="1:1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ht="15">
      <c r="A9" s="51" t="s">
        <v>4</v>
      </c>
      <c r="B9" s="51"/>
      <c r="C9" s="51"/>
      <c r="D9" s="51"/>
      <c r="E9" s="51"/>
      <c r="F9" s="51"/>
      <c r="G9" s="51"/>
      <c r="H9" s="51"/>
      <c r="I9" s="51"/>
      <c r="J9" s="2"/>
      <c r="K9" s="2"/>
      <c r="L9" s="2"/>
    </row>
    <row r="10" spans="1:12">
      <c r="A10" s="3" t="s">
        <v>5</v>
      </c>
      <c r="B10" s="48" t="s">
        <v>6</v>
      </c>
      <c r="C10" s="48"/>
      <c r="D10" s="48"/>
      <c r="E10" s="48"/>
      <c r="F10" s="48"/>
      <c r="G10" s="48"/>
      <c r="H10" s="48"/>
      <c r="I10" s="48"/>
      <c r="J10" s="2"/>
      <c r="K10" s="2"/>
      <c r="L10" s="2"/>
    </row>
    <row r="11" spans="1:12">
      <c r="A11" s="3" t="s">
        <v>7</v>
      </c>
      <c r="B11" s="48" t="s">
        <v>8</v>
      </c>
      <c r="C11" s="48"/>
      <c r="D11" s="48"/>
      <c r="E11" s="48"/>
      <c r="F11" s="48"/>
      <c r="G11" s="48"/>
      <c r="H11" s="48"/>
      <c r="I11" s="48"/>
      <c r="J11" s="2"/>
      <c r="K11" s="2"/>
      <c r="L11" s="2"/>
    </row>
    <row r="12" spans="1:12">
      <c r="A12" s="3" t="s">
        <v>9</v>
      </c>
      <c r="B12" s="48" t="s">
        <v>10</v>
      </c>
      <c r="C12" s="48"/>
      <c r="D12" s="48"/>
      <c r="E12" s="48"/>
      <c r="F12" s="48"/>
      <c r="G12" s="48"/>
      <c r="H12" s="48"/>
      <c r="I12" s="48"/>
      <c r="J12" s="2"/>
      <c r="K12" s="2"/>
      <c r="L12" s="2"/>
    </row>
    <row r="13" spans="1:12">
      <c r="A13" s="3" t="s">
        <v>11</v>
      </c>
      <c r="B13" s="48" t="s">
        <v>12</v>
      </c>
      <c r="C13" s="48"/>
      <c r="D13" s="48"/>
      <c r="E13" s="48"/>
      <c r="F13" s="48"/>
      <c r="G13" s="48"/>
      <c r="H13" s="48"/>
      <c r="I13" s="48"/>
      <c r="J13" s="2"/>
      <c r="K13" s="2"/>
      <c r="L13" s="2"/>
    </row>
    <row r="14" spans="1:12">
      <c r="A14" s="3" t="s">
        <v>13</v>
      </c>
      <c r="B14" s="48" t="s">
        <v>14</v>
      </c>
      <c r="C14" s="48"/>
      <c r="D14" s="48"/>
      <c r="E14" s="48"/>
      <c r="F14" s="48"/>
      <c r="G14" s="48"/>
      <c r="H14" s="48"/>
      <c r="I14" s="48"/>
      <c r="J14" s="2"/>
      <c r="K14" s="2"/>
      <c r="L14" s="2"/>
    </row>
    <row r="15" spans="1:12">
      <c r="A15" s="3" t="s">
        <v>15</v>
      </c>
      <c r="B15" s="48" t="s">
        <v>16</v>
      </c>
      <c r="C15" s="48"/>
      <c r="D15" s="48"/>
      <c r="E15" s="48"/>
      <c r="F15" s="48"/>
      <c r="G15" s="48"/>
      <c r="H15" s="48"/>
      <c r="I15" s="48"/>
      <c r="J15" s="2"/>
      <c r="K15" s="2"/>
      <c r="L15" s="2"/>
    </row>
    <row r="16" spans="1:12">
      <c r="A16" s="3">
        <v>7</v>
      </c>
      <c r="B16" s="48" t="s">
        <v>17</v>
      </c>
      <c r="C16" s="48"/>
      <c r="D16" s="48"/>
      <c r="E16" s="48"/>
      <c r="F16" s="48"/>
      <c r="G16" s="48"/>
      <c r="H16" s="48"/>
      <c r="I16" s="48"/>
      <c r="J16" s="2"/>
      <c r="K16" s="2"/>
      <c r="L16" s="2"/>
    </row>
    <row r="17" spans="1:1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ht="15">
      <c r="A18" s="51" t="s">
        <v>18</v>
      </c>
      <c r="B18" s="51"/>
      <c r="C18" s="51"/>
      <c r="D18" s="51"/>
      <c r="E18" s="51"/>
      <c r="F18" s="51"/>
      <c r="G18" s="51"/>
      <c r="H18" s="51"/>
      <c r="I18" s="51"/>
      <c r="J18" s="2"/>
      <c r="K18" s="2"/>
      <c r="L18" s="2"/>
    </row>
    <row r="19" spans="1:12">
      <c r="A19" s="4">
        <v>1</v>
      </c>
      <c r="B19" s="48" t="s">
        <v>19</v>
      </c>
      <c r="C19" s="48"/>
      <c r="D19" s="48"/>
      <c r="E19" s="48"/>
      <c r="F19" s="48"/>
      <c r="G19" s="48"/>
      <c r="H19" s="48"/>
      <c r="I19" s="48"/>
      <c r="J19" s="2"/>
      <c r="K19" s="2"/>
      <c r="L19" s="2"/>
    </row>
    <row r="20" spans="1:12">
      <c r="A20" s="4">
        <v>2</v>
      </c>
      <c r="B20" s="48" t="s">
        <v>20</v>
      </c>
      <c r="C20" s="48"/>
      <c r="D20" s="48"/>
      <c r="E20" s="48"/>
      <c r="F20" s="48"/>
      <c r="G20" s="48"/>
      <c r="H20" s="48"/>
      <c r="I20" s="48"/>
      <c r="J20" s="2"/>
      <c r="K20" s="2"/>
      <c r="L20" s="2"/>
    </row>
    <row r="21" spans="1:12">
      <c r="A21" s="4">
        <v>3</v>
      </c>
      <c r="B21" s="48" t="s">
        <v>21</v>
      </c>
      <c r="C21" s="48"/>
      <c r="D21" s="48"/>
      <c r="E21" s="48"/>
      <c r="F21" s="48"/>
      <c r="G21" s="48"/>
      <c r="H21" s="48"/>
      <c r="I21" s="48"/>
      <c r="J21" s="2"/>
      <c r="K21" s="2"/>
      <c r="L21" s="2"/>
    </row>
    <row r="22" spans="1:12">
      <c r="A22" s="4">
        <v>4</v>
      </c>
      <c r="B22" s="50" t="s">
        <v>22</v>
      </c>
      <c r="C22" s="50"/>
      <c r="D22" s="50"/>
      <c r="E22" s="50"/>
      <c r="F22" s="50"/>
      <c r="G22" s="50"/>
      <c r="H22" s="50"/>
      <c r="I22" s="50"/>
      <c r="J22" s="2"/>
      <c r="K22" s="2"/>
      <c r="L22" s="2"/>
    </row>
    <row r="23" spans="1:12">
      <c r="A23" s="4">
        <v>5</v>
      </c>
      <c r="B23" s="48" t="s">
        <v>23</v>
      </c>
      <c r="C23" s="48"/>
      <c r="D23" s="48"/>
      <c r="E23" s="48"/>
      <c r="F23" s="48"/>
      <c r="G23" s="48"/>
      <c r="H23" s="48"/>
      <c r="I23" s="48"/>
      <c r="J23" s="2"/>
      <c r="K23" s="2"/>
      <c r="L23" s="2"/>
    </row>
    <row r="24" spans="1:12">
      <c r="A24" s="4">
        <v>6</v>
      </c>
      <c r="B24" s="48" t="s">
        <v>24</v>
      </c>
      <c r="C24" s="48"/>
      <c r="D24" s="48"/>
      <c r="E24" s="48"/>
      <c r="F24" s="48"/>
      <c r="G24" s="48"/>
      <c r="H24" s="48"/>
      <c r="I24" s="48"/>
      <c r="J24" s="2"/>
      <c r="K24" s="2"/>
      <c r="L24" s="2"/>
    </row>
    <row r="25" spans="1:12">
      <c r="A25" s="4">
        <v>7</v>
      </c>
      <c r="B25" s="48" t="s">
        <v>25</v>
      </c>
      <c r="C25" s="48"/>
      <c r="D25" s="48"/>
      <c r="E25" s="48"/>
      <c r="F25" s="48"/>
      <c r="G25" s="48"/>
      <c r="H25" s="48"/>
      <c r="I25" s="48"/>
      <c r="J25" s="2"/>
      <c r="K25" s="2"/>
      <c r="L25" s="2"/>
    </row>
    <row r="26" spans="1:12">
      <c r="A26" s="4">
        <v>8</v>
      </c>
      <c r="B26" s="48" t="s">
        <v>26</v>
      </c>
      <c r="C26" s="48"/>
      <c r="D26" s="48"/>
      <c r="E26" s="48"/>
      <c r="F26" s="48"/>
      <c r="G26" s="48"/>
      <c r="H26" s="48"/>
      <c r="I26" s="48"/>
      <c r="J26" s="2"/>
      <c r="K26" s="2"/>
      <c r="L26" s="2"/>
    </row>
    <row r="27" spans="1:1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>
      <c r="A28" s="49" t="s">
        <v>27</v>
      </c>
      <c r="B28" s="49"/>
      <c r="C28" s="49"/>
      <c r="D28" s="49"/>
      <c r="E28" s="49"/>
      <c r="F28" s="49"/>
      <c r="G28" s="49"/>
      <c r="H28" s="49"/>
      <c r="I28" s="49"/>
      <c r="J28" s="2"/>
      <c r="K28" s="2"/>
      <c r="L28" s="2"/>
    </row>
    <row r="29" spans="1:12">
      <c r="A29" s="49"/>
      <c r="B29" s="49"/>
      <c r="C29" s="49"/>
      <c r="D29" s="49"/>
      <c r="E29" s="49"/>
      <c r="F29" s="49"/>
      <c r="G29" s="49"/>
      <c r="H29" s="49"/>
      <c r="I29" s="49"/>
      <c r="J29" s="2"/>
      <c r="K29" s="2"/>
      <c r="L29" s="2"/>
    </row>
    <row r="30" spans="1:1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1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1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1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spans="1:1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spans="1:1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1:1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1:1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1:1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1:1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1:1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1:1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spans="1:1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spans="1:1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spans="1:1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spans="1:1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spans="1:1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spans="1:1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spans="1:1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spans="1:1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spans="1:1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spans="1:1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 spans="1:1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spans="1:1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spans="1:1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spans="1:1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spans="1:1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spans="1:1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 spans="1:1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 spans="1:1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 spans="1:1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 spans="1:1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spans="1:1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spans="1:1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 spans="1:1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spans="1:1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</sheetData>
  <mergeCells count="22">
    <mergeCell ref="A1:I2"/>
    <mergeCell ref="A3:I3"/>
    <mergeCell ref="A5:I5"/>
    <mergeCell ref="A6:I7"/>
    <mergeCell ref="A9:I9"/>
    <mergeCell ref="B10:I10"/>
    <mergeCell ref="B11:I11"/>
    <mergeCell ref="B12:I12"/>
    <mergeCell ref="B13:I13"/>
    <mergeCell ref="B14:I14"/>
    <mergeCell ref="B15:I15"/>
    <mergeCell ref="B16:I16"/>
    <mergeCell ref="A18:I18"/>
    <mergeCell ref="B19:I19"/>
    <mergeCell ref="B20:I20"/>
    <mergeCell ref="B26:I26"/>
    <mergeCell ref="A28:I29"/>
    <mergeCell ref="B21:I21"/>
    <mergeCell ref="B22:I22"/>
    <mergeCell ref="B23:I23"/>
    <mergeCell ref="B24:I24"/>
    <mergeCell ref="B25:I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0"/>
  <sheetViews>
    <sheetView showGridLines="0" workbookViewId="0">
      <selection activeCell="L24" sqref="L24"/>
    </sheetView>
  </sheetViews>
  <sheetFormatPr defaultColWidth="8.7109375" defaultRowHeight="12.75"/>
  <cols>
    <col min="1" max="1" width="8.42578125" customWidth="1"/>
    <col min="2" max="2" width="19.28515625" customWidth="1"/>
    <col min="3" max="3" width="11.85546875" customWidth="1"/>
    <col min="4" max="4" width="8.5703125" customWidth="1"/>
    <col min="5" max="5" width="11.42578125" customWidth="1"/>
    <col min="6" max="6" width="14" customWidth="1"/>
    <col min="7" max="7" width="12.140625" customWidth="1"/>
    <col min="8" max="8" width="13.5703125" customWidth="1"/>
    <col min="9" max="9" width="15.7109375" customWidth="1"/>
    <col min="10" max="10" width="59.5703125" bestFit="1" customWidth="1"/>
  </cols>
  <sheetData>
    <row r="1" spans="1:12">
      <c r="A1" s="44" t="s">
        <v>28</v>
      </c>
      <c r="B1" s="44"/>
      <c r="C1" s="44"/>
      <c r="D1" s="44"/>
      <c r="E1" s="44"/>
      <c r="F1" s="44"/>
      <c r="G1" s="44"/>
      <c r="H1" s="44"/>
      <c r="I1" s="44"/>
      <c r="J1" s="44"/>
      <c r="K1" s="2"/>
      <c r="L1" s="2"/>
    </row>
    <row r="2" spans="1:12">
      <c r="A2" s="44"/>
      <c r="B2" s="44"/>
      <c r="C2" s="44"/>
      <c r="D2" s="44"/>
      <c r="E2" s="44"/>
      <c r="F2" s="44"/>
      <c r="G2" s="44"/>
      <c r="H2" s="44"/>
      <c r="I2" s="44"/>
      <c r="J2" s="44"/>
      <c r="K2" s="2"/>
      <c r="L2" s="2"/>
    </row>
    <row r="3" spans="1:12">
      <c r="A3" s="45" t="s">
        <v>1</v>
      </c>
      <c r="B3" s="45"/>
      <c r="C3" s="45"/>
      <c r="D3" s="45"/>
      <c r="E3" s="45"/>
      <c r="F3" s="45"/>
      <c r="G3" s="45"/>
      <c r="H3" s="45"/>
      <c r="I3" s="45"/>
      <c r="J3" s="45"/>
      <c r="K3" s="2"/>
      <c r="L3" s="2"/>
    </row>
    <row r="4" spans="1:1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>
      <c r="A5" s="52" t="s">
        <v>29</v>
      </c>
      <c r="B5" s="52"/>
      <c r="C5" s="52"/>
      <c r="D5" s="52"/>
      <c r="E5" s="52"/>
      <c r="F5" s="52"/>
      <c r="G5" s="52"/>
      <c r="H5" s="52"/>
      <c r="I5" s="52"/>
      <c r="J5" s="52"/>
      <c r="K5" s="2"/>
      <c r="L5" s="2"/>
    </row>
    <row r="6" spans="1:12">
      <c r="A6" s="52"/>
      <c r="B6" s="52"/>
      <c r="C6" s="52"/>
      <c r="D6" s="52"/>
      <c r="E6" s="52"/>
      <c r="F6" s="52"/>
      <c r="G6" s="52"/>
      <c r="H6" s="52"/>
      <c r="I6" s="52"/>
      <c r="J6" s="52"/>
      <c r="K6" s="2"/>
      <c r="L6" s="2"/>
    </row>
    <row r="7" spans="1:1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>
      <c r="A8" s="1" t="s">
        <v>30</v>
      </c>
      <c r="B8" s="1" t="s">
        <v>31</v>
      </c>
      <c r="C8" s="1" t="s">
        <v>32</v>
      </c>
      <c r="D8" s="1" t="s">
        <v>33</v>
      </c>
      <c r="E8" s="1" t="s">
        <v>34</v>
      </c>
      <c r="F8" s="1" t="s">
        <v>35</v>
      </c>
      <c r="G8" s="1" t="s">
        <v>36</v>
      </c>
      <c r="H8" s="1" t="s">
        <v>37</v>
      </c>
      <c r="I8" s="1" t="s">
        <v>38</v>
      </c>
      <c r="J8" s="1" t="s">
        <v>39</v>
      </c>
      <c r="K8" s="2"/>
      <c r="L8" s="2"/>
    </row>
    <row r="9" spans="1:12">
      <c r="A9" s="5" t="s">
        <v>40</v>
      </c>
      <c r="B9" s="5" t="s">
        <v>41</v>
      </c>
      <c r="C9" s="5" t="s">
        <v>42</v>
      </c>
      <c r="D9" s="5" t="s">
        <v>43</v>
      </c>
      <c r="E9" s="5" t="s">
        <v>44</v>
      </c>
      <c r="F9" s="6">
        <v>4.75</v>
      </c>
      <c r="G9" s="7">
        <v>40</v>
      </c>
      <c r="H9" s="7">
        <v>10</v>
      </c>
      <c r="I9" s="8">
        <v>46204</v>
      </c>
      <c r="J9" s="5"/>
      <c r="K9" s="2"/>
      <c r="L9" s="2"/>
    </row>
    <row r="10" spans="1:12">
      <c r="A10" s="5" t="s">
        <v>45</v>
      </c>
      <c r="B10" s="5" t="s">
        <v>46</v>
      </c>
      <c r="C10" s="5" t="s">
        <v>47</v>
      </c>
      <c r="D10" s="5" t="s">
        <v>33</v>
      </c>
      <c r="E10" s="5" t="s">
        <v>48</v>
      </c>
      <c r="F10" s="6">
        <v>0.85</v>
      </c>
      <c r="G10" s="7">
        <v>120</v>
      </c>
      <c r="H10" s="7">
        <v>30</v>
      </c>
      <c r="I10" s="8">
        <v>46204</v>
      </c>
      <c r="J10" s="5"/>
      <c r="K10" s="2"/>
      <c r="L10" s="2"/>
    </row>
    <row r="11" spans="1:12">
      <c r="A11" s="5" t="s">
        <v>49</v>
      </c>
      <c r="B11" s="5" t="s">
        <v>50</v>
      </c>
      <c r="C11" s="5" t="s">
        <v>47</v>
      </c>
      <c r="D11" s="5" t="s">
        <v>33</v>
      </c>
      <c r="E11" s="5" t="s">
        <v>48</v>
      </c>
      <c r="F11" s="6">
        <v>0.85</v>
      </c>
      <c r="G11" s="7">
        <v>95</v>
      </c>
      <c r="H11" s="7">
        <v>30</v>
      </c>
      <c r="I11" s="8">
        <v>46204</v>
      </c>
      <c r="J11" s="5"/>
      <c r="K11" s="2"/>
      <c r="L11" s="2"/>
    </row>
    <row r="12" spans="1:12">
      <c r="A12" s="5" t="s">
        <v>51</v>
      </c>
      <c r="B12" s="5" t="s">
        <v>52</v>
      </c>
      <c r="C12" s="9" t="s">
        <v>47</v>
      </c>
      <c r="D12" s="5" t="s">
        <v>33</v>
      </c>
      <c r="E12" s="5" t="s">
        <v>48</v>
      </c>
      <c r="F12" s="6">
        <v>0.55000000000000004</v>
      </c>
      <c r="G12" s="7">
        <v>80</v>
      </c>
      <c r="H12" s="7">
        <v>20</v>
      </c>
      <c r="I12" s="8">
        <v>46205</v>
      </c>
      <c r="J12" s="5" t="s">
        <v>334</v>
      </c>
      <c r="K12" s="2"/>
      <c r="L12" s="2"/>
    </row>
    <row r="13" spans="1:12">
      <c r="A13" s="9" t="s">
        <v>53</v>
      </c>
      <c r="B13" s="5" t="s">
        <v>54</v>
      </c>
      <c r="C13" s="5" t="s">
        <v>47</v>
      </c>
      <c r="D13" s="5" t="s">
        <v>33</v>
      </c>
      <c r="E13" s="5" t="s">
        <v>48</v>
      </c>
      <c r="F13" s="6">
        <v>0.6</v>
      </c>
      <c r="G13" s="7">
        <v>50</v>
      </c>
      <c r="H13" s="7">
        <v>15</v>
      </c>
      <c r="I13" s="8">
        <v>46205</v>
      </c>
      <c r="J13" s="5" t="s">
        <v>335</v>
      </c>
      <c r="K13" s="2"/>
      <c r="L13" s="2"/>
    </row>
    <row r="14" spans="1:12">
      <c r="A14" s="5" t="s">
        <v>55</v>
      </c>
      <c r="B14" s="5" t="s">
        <v>56</v>
      </c>
      <c r="C14" s="5" t="s">
        <v>47</v>
      </c>
      <c r="D14" s="5" t="s">
        <v>33</v>
      </c>
      <c r="E14" s="5" t="s">
        <v>57</v>
      </c>
      <c r="F14" s="6">
        <v>1.9</v>
      </c>
      <c r="G14" s="7">
        <v>34</v>
      </c>
      <c r="H14" s="7">
        <v>10</v>
      </c>
      <c r="I14" s="8">
        <v>46206</v>
      </c>
      <c r="J14" s="5"/>
      <c r="K14" s="2"/>
      <c r="L14" s="2"/>
    </row>
    <row r="15" spans="1:12">
      <c r="A15" s="5" t="s">
        <v>58</v>
      </c>
      <c r="B15" s="5" t="s">
        <v>59</v>
      </c>
      <c r="C15" s="5" t="s">
        <v>60</v>
      </c>
      <c r="D15" s="5" t="s">
        <v>33</v>
      </c>
      <c r="E15" s="5" t="s">
        <v>44</v>
      </c>
      <c r="F15" s="6">
        <v>2.35</v>
      </c>
      <c r="G15" s="7">
        <v>45</v>
      </c>
      <c r="H15" s="7">
        <v>12</v>
      </c>
      <c r="I15" s="8">
        <v>46206</v>
      </c>
      <c r="J15" s="5"/>
      <c r="K15" s="2"/>
      <c r="L15" s="2"/>
    </row>
    <row r="16" spans="1:12">
      <c r="A16" s="5" t="s">
        <v>61</v>
      </c>
      <c r="B16" s="5" t="s">
        <v>62</v>
      </c>
      <c r="C16" s="5" t="s">
        <v>60</v>
      </c>
      <c r="D16" s="5" t="s">
        <v>63</v>
      </c>
      <c r="E16" s="5" t="s">
        <v>44</v>
      </c>
      <c r="F16" s="6">
        <v>1.65</v>
      </c>
      <c r="G16" s="7">
        <v>25</v>
      </c>
      <c r="H16" s="7">
        <v>8</v>
      </c>
      <c r="I16" s="8">
        <v>46207</v>
      </c>
      <c r="J16" s="5"/>
      <c r="K16" s="2"/>
      <c r="L16" s="2"/>
    </row>
    <row r="17" spans="1:12">
      <c r="A17" s="5" t="s">
        <v>64</v>
      </c>
      <c r="B17" s="5" t="s">
        <v>65</v>
      </c>
      <c r="C17" s="5" t="s">
        <v>66</v>
      </c>
      <c r="D17" s="5" t="s">
        <v>33</v>
      </c>
      <c r="E17" s="5" t="s">
        <v>67</v>
      </c>
      <c r="F17" s="6">
        <v>8.9</v>
      </c>
      <c r="G17" s="7">
        <v>12</v>
      </c>
      <c r="H17" s="7">
        <v>4</v>
      </c>
      <c r="I17" s="8">
        <v>46207</v>
      </c>
      <c r="J17" s="5"/>
      <c r="K17" s="2"/>
      <c r="L17" s="2"/>
    </row>
    <row r="18" spans="1:12">
      <c r="A18" s="5" t="s">
        <v>68</v>
      </c>
      <c r="B18" s="5" t="s">
        <v>69</v>
      </c>
      <c r="C18" s="5" t="s">
        <v>70</v>
      </c>
      <c r="D18" s="5" t="s">
        <v>71</v>
      </c>
      <c r="E18" s="5" t="s">
        <v>67</v>
      </c>
      <c r="F18" s="6">
        <v>1.2</v>
      </c>
      <c r="G18" s="7">
        <v>60</v>
      </c>
      <c r="H18" s="7">
        <v>15</v>
      </c>
      <c r="I18" s="8">
        <v>46207</v>
      </c>
      <c r="J18" s="5"/>
      <c r="K18" s="2"/>
      <c r="L18" s="2"/>
    </row>
    <row r="19" spans="1:12">
      <c r="A19" s="5" t="s">
        <v>72</v>
      </c>
      <c r="B19" s="5" t="s">
        <v>73</v>
      </c>
      <c r="C19" s="5" t="s">
        <v>66</v>
      </c>
      <c r="D19" s="5" t="s">
        <v>33</v>
      </c>
      <c r="E19" s="5" t="s">
        <v>67</v>
      </c>
      <c r="F19" s="6">
        <v>7.5</v>
      </c>
      <c r="G19" s="7">
        <v>10</v>
      </c>
      <c r="H19" s="7">
        <v>3</v>
      </c>
      <c r="I19" s="8">
        <v>46208</v>
      </c>
      <c r="J19" s="5"/>
      <c r="K19" s="2"/>
      <c r="L19" s="2"/>
    </row>
    <row r="20" spans="1:12">
      <c r="A20" s="5" t="s">
        <v>74</v>
      </c>
      <c r="B20" s="5" t="s">
        <v>75</v>
      </c>
      <c r="C20" s="5" t="s">
        <v>70</v>
      </c>
      <c r="D20" s="5" t="s">
        <v>71</v>
      </c>
      <c r="E20" s="5" t="s">
        <v>44</v>
      </c>
      <c r="F20" s="10">
        <v>0.95</v>
      </c>
      <c r="G20" s="7">
        <v>70</v>
      </c>
      <c r="H20" s="7">
        <v>20</v>
      </c>
      <c r="I20" s="8">
        <v>46208</v>
      </c>
      <c r="J20" s="11" t="s">
        <v>336</v>
      </c>
      <c r="K20" s="2"/>
      <c r="L20" s="2"/>
    </row>
    <row r="21" spans="1:12">
      <c r="A21" s="5" t="s">
        <v>76</v>
      </c>
      <c r="B21" s="5" t="s">
        <v>77</v>
      </c>
      <c r="C21" s="5" t="s">
        <v>42</v>
      </c>
      <c r="D21" s="5" t="s">
        <v>78</v>
      </c>
      <c r="E21" s="5" t="s">
        <v>57</v>
      </c>
      <c r="F21" s="6">
        <v>1.45</v>
      </c>
      <c r="G21" s="7">
        <v>55</v>
      </c>
      <c r="H21" s="7">
        <v>15</v>
      </c>
      <c r="I21" s="8">
        <v>46209</v>
      </c>
      <c r="J21" s="5"/>
      <c r="K21" s="2"/>
      <c r="L21" s="2"/>
    </row>
    <row r="22" spans="1:12">
      <c r="A22" s="5" t="s">
        <v>79</v>
      </c>
      <c r="B22" s="5" t="s">
        <v>80</v>
      </c>
      <c r="C22" s="5" t="s">
        <v>42</v>
      </c>
      <c r="D22" s="5" t="s">
        <v>81</v>
      </c>
      <c r="E22" s="5" t="s">
        <v>44</v>
      </c>
      <c r="F22" s="6">
        <v>3.8</v>
      </c>
      <c r="G22" s="7">
        <v>22</v>
      </c>
      <c r="H22" s="7">
        <v>6</v>
      </c>
      <c r="I22" s="8">
        <v>46209</v>
      </c>
      <c r="J22" s="5"/>
      <c r="K22" s="2"/>
      <c r="L22" s="2"/>
    </row>
    <row r="23" spans="1:12">
      <c r="A23" s="5" t="s">
        <v>82</v>
      </c>
      <c r="B23" s="5" t="s">
        <v>83</v>
      </c>
      <c r="C23" s="5" t="s">
        <v>42</v>
      </c>
      <c r="D23" s="5" t="s">
        <v>81</v>
      </c>
      <c r="E23" s="5" t="s">
        <v>44</v>
      </c>
      <c r="F23" s="6">
        <v>3.25</v>
      </c>
      <c r="G23" s="7">
        <v>28</v>
      </c>
      <c r="H23" s="7">
        <v>8</v>
      </c>
      <c r="I23" s="8">
        <v>46209</v>
      </c>
      <c r="J23" s="5"/>
      <c r="K23" s="2"/>
      <c r="L23" s="2"/>
    </row>
    <row r="24" spans="1:12">
      <c r="A24" s="5" t="s">
        <v>84</v>
      </c>
      <c r="B24" s="5" t="s">
        <v>85</v>
      </c>
      <c r="C24" s="5" t="s">
        <v>86</v>
      </c>
      <c r="D24" s="5" t="s">
        <v>33</v>
      </c>
      <c r="E24" s="5" t="s">
        <v>87</v>
      </c>
      <c r="F24" s="6">
        <v>14.9</v>
      </c>
      <c r="G24" s="7">
        <v>16</v>
      </c>
      <c r="H24" s="7">
        <v>5</v>
      </c>
      <c r="I24" s="8">
        <v>46210</v>
      </c>
      <c r="J24" s="5"/>
      <c r="K24" s="2"/>
      <c r="L24" s="2"/>
    </row>
    <row r="25" spans="1:12">
      <c r="A25" s="5" t="s">
        <v>88</v>
      </c>
      <c r="B25" s="5" t="s">
        <v>89</v>
      </c>
      <c r="C25" s="5" t="s">
        <v>86</v>
      </c>
      <c r="D25" s="5" t="s">
        <v>33</v>
      </c>
      <c r="E25" s="5" t="s">
        <v>87</v>
      </c>
      <c r="F25" s="6">
        <v>16.5</v>
      </c>
      <c r="G25" s="7">
        <v>11</v>
      </c>
      <c r="H25" s="7">
        <v>4</v>
      </c>
      <c r="I25" s="8">
        <v>46210</v>
      </c>
      <c r="J25" s="5"/>
      <c r="K25" s="2"/>
      <c r="L25" s="2"/>
    </row>
    <row r="26" spans="1:12">
      <c r="A26" s="5" t="s">
        <v>90</v>
      </c>
      <c r="B26" s="5" t="s">
        <v>91</v>
      </c>
      <c r="C26" s="9" t="s">
        <v>86</v>
      </c>
      <c r="D26" s="5" t="s">
        <v>33</v>
      </c>
      <c r="E26" s="5" t="s">
        <v>87</v>
      </c>
      <c r="F26" s="6">
        <v>7.9</v>
      </c>
      <c r="G26" s="7">
        <v>25</v>
      </c>
      <c r="H26" s="7">
        <v>8</v>
      </c>
      <c r="I26" s="8">
        <v>46210</v>
      </c>
      <c r="J26" s="5" t="s">
        <v>337</v>
      </c>
      <c r="K26" s="2"/>
      <c r="L26" s="2"/>
    </row>
    <row r="27" spans="1:12">
      <c r="A27" s="5" t="s">
        <v>92</v>
      </c>
      <c r="B27" s="5" t="s">
        <v>93</v>
      </c>
      <c r="C27" s="5" t="s">
        <v>86</v>
      </c>
      <c r="D27" s="5" t="s">
        <v>33</v>
      </c>
      <c r="E27" s="5" t="s">
        <v>87</v>
      </c>
      <c r="F27" s="6">
        <v>6.75</v>
      </c>
      <c r="G27" s="7">
        <v>18</v>
      </c>
      <c r="H27" s="7">
        <v>6</v>
      </c>
      <c r="I27" s="8">
        <v>46211</v>
      </c>
      <c r="J27" s="5"/>
      <c r="K27" s="2"/>
      <c r="L27" s="2"/>
    </row>
    <row r="28" spans="1:12">
      <c r="A28" s="5" t="s">
        <v>94</v>
      </c>
      <c r="B28" s="5" t="s">
        <v>95</v>
      </c>
      <c r="C28" s="5" t="s">
        <v>66</v>
      </c>
      <c r="D28" s="5" t="s">
        <v>33</v>
      </c>
      <c r="E28" s="5" t="s">
        <v>96</v>
      </c>
      <c r="F28" s="6">
        <v>12.4</v>
      </c>
      <c r="G28" s="7">
        <v>9</v>
      </c>
      <c r="H28" s="7">
        <v>3</v>
      </c>
      <c r="I28" s="8">
        <v>46211</v>
      </c>
      <c r="J28" s="5"/>
      <c r="K28" s="2"/>
      <c r="L28" s="2"/>
    </row>
    <row r="29" spans="1:12">
      <c r="A29" s="5" t="s">
        <v>97</v>
      </c>
      <c r="B29" s="5" t="s">
        <v>98</v>
      </c>
      <c r="C29" s="5" t="s">
        <v>70</v>
      </c>
      <c r="D29" s="5" t="s">
        <v>99</v>
      </c>
      <c r="E29" s="5" t="s">
        <v>96</v>
      </c>
      <c r="F29" s="6">
        <v>4.2</v>
      </c>
      <c r="G29" s="7">
        <v>30</v>
      </c>
      <c r="H29" s="7">
        <v>10</v>
      </c>
      <c r="I29" s="8">
        <v>46212</v>
      </c>
      <c r="J29" s="5"/>
      <c r="K29" s="2"/>
      <c r="L29" s="2"/>
    </row>
    <row r="30" spans="1:12">
      <c r="A30" s="5" t="s">
        <v>100</v>
      </c>
      <c r="B30" s="5" t="s">
        <v>101</v>
      </c>
      <c r="C30" s="5" t="s">
        <v>70</v>
      </c>
      <c r="D30" s="5" t="s">
        <v>99</v>
      </c>
      <c r="E30" s="5" t="s">
        <v>96</v>
      </c>
      <c r="F30" s="6">
        <v>4.2</v>
      </c>
      <c r="G30" s="7">
        <v>26</v>
      </c>
      <c r="H30" s="7">
        <v>10</v>
      </c>
      <c r="I30" s="8">
        <v>46212</v>
      </c>
      <c r="J30" s="5"/>
      <c r="K30" s="2"/>
      <c r="L30" s="2"/>
    </row>
    <row r="31" spans="1:12">
      <c r="A31" s="5" t="s">
        <v>102</v>
      </c>
      <c r="B31" s="5" t="s">
        <v>103</v>
      </c>
      <c r="C31" s="5" t="s">
        <v>66</v>
      </c>
      <c r="D31" s="5" t="s">
        <v>33</v>
      </c>
      <c r="E31" s="5" t="s">
        <v>67</v>
      </c>
      <c r="F31" s="6">
        <v>9.8000000000000007</v>
      </c>
      <c r="G31" s="7">
        <v>8</v>
      </c>
      <c r="H31" s="7">
        <v>3</v>
      </c>
      <c r="I31" s="8">
        <v>46213</v>
      </c>
      <c r="J31" s="5"/>
      <c r="K31" s="2"/>
      <c r="L31" s="2"/>
    </row>
    <row r="32" spans="1:12">
      <c r="A32" s="5" t="s">
        <v>104</v>
      </c>
      <c r="B32" s="5" t="s">
        <v>105</v>
      </c>
      <c r="C32" s="5" t="s">
        <v>66</v>
      </c>
      <c r="D32" s="5" t="s">
        <v>33</v>
      </c>
      <c r="E32" s="5" t="s">
        <v>57</v>
      </c>
      <c r="F32" s="6">
        <v>3.1</v>
      </c>
      <c r="G32" s="7">
        <v>20</v>
      </c>
      <c r="H32" s="7">
        <v>5</v>
      </c>
      <c r="I32" s="8">
        <v>46213</v>
      </c>
      <c r="J32" s="5"/>
      <c r="K32" s="2"/>
      <c r="L32" s="2"/>
    </row>
    <row r="33" spans="1:12">
      <c r="A33" s="5" t="s">
        <v>106</v>
      </c>
      <c r="B33" s="5" t="s">
        <v>107</v>
      </c>
      <c r="C33" s="5" t="s">
        <v>70</v>
      </c>
      <c r="D33" s="5" t="s">
        <v>33</v>
      </c>
      <c r="E33" s="5" t="s">
        <v>57</v>
      </c>
      <c r="F33" s="6">
        <v>1.3</v>
      </c>
      <c r="G33" s="7">
        <v>35</v>
      </c>
      <c r="H33" s="7">
        <v>10</v>
      </c>
      <c r="I33" s="8">
        <v>46214</v>
      </c>
      <c r="J33" s="5"/>
      <c r="K33" s="2"/>
      <c r="L33" s="2"/>
    </row>
    <row r="34" spans="1:12">
      <c r="A34" s="5" t="s">
        <v>108</v>
      </c>
      <c r="B34" s="5" t="s">
        <v>109</v>
      </c>
      <c r="C34" s="5" t="s">
        <v>42</v>
      </c>
      <c r="D34" s="5" t="s">
        <v>33</v>
      </c>
      <c r="E34" s="5" t="s">
        <v>44</v>
      </c>
      <c r="F34" s="6">
        <v>2.1</v>
      </c>
      <c r="G34" s="7">
        <v>42</v>
      </c>
      <c r="H34" s="7">
        <v>12</v>
      </c>
      <c r="I34" s="8">
        <v>46214</v>
      </c>
      <c r="J34" s="5"/>
      <c r="K34" s="2"/>
      <c r="L34" s="2"/>
    </row>
    <row r="35" spans="1:12">
      <c r="A35" s="5" t="s">
        <v>110</v>
      </c>
      <c r="B35" s="5" t="s">
        <v>111</v>
      </c>
      <c r="C35" s="5" t="s">
        <v>66</v>
      </c>
      <c r="D35" s="5" t="s">
        <v>33</v>
      </c>
      <c r="E35" s="5" t="s">
        <v>57</v>
      </c>
      <c r="F35" s="6">
        <v>18.5</v>
      </c>
      <c r="G35" s="7">
        <v>6</v>
      </c>
      <c r="H35" s="7">
        <v>2</v>
      </c>
      <c r="I35" s="8">
        <v>46215</v>
      </c>
      <c r="J35" s="5"/>
      <c r="K35" s="2"/>
      <c r="L35" s="2"/>
    </row>
    <row r="36" spans="1:12">
      <c r="A36" s="5" t="s">
        <v>112</v>
      </c>
      <c r="B36" s="5" t="s">
        <v>113</v>
      </c>
      <c r="C36" s="5" t="s">
        <v>114</v>
      </c>
      <c r="D36" s="5" t="s">
        <v>33</v>
      </c>
      <c r="E36" s="5" t="s">
        <v>96</v>
      </c>
      <c r="F36" s="6">
        <v>3.95</v>
      </c>
      <c r="G36" s="7">
        <v>14</v>
      </c>
      <c r="H36" s="7">
        <v>4</v>
      </c>
      <c r="I36" s="8">
        <v>46215</v>
      </c>
      <c r="J36" s="5"/>
      <c r="K36" s="2"/>
      <c r="L36" s="2"/>
    </row>
    <row r="37" spans="1:12">
      <c r="A37" s="5" t="s">
        <v>115</v>
      </c>
      <c r="B37" s="5" t="s">
        <v>116</v>
      </c>
      <c r="C37" s="5" t="s">
        <v>114</v>
      </c>
      <c r="D37" s="5" t="s">
        <v>99</v>
      </c>
      <c r="E37" s="5" t="s">
        <v>96</v>
      </c>
      <c r="F37" s="6">
        <v>5.0999999999999996</v>
      </c>
      <c r="G37" s="7">
        <v>20</v>
      </c>
      <c r="H37" s="7">
        <v>6</v>
      </c>
      <c r="I37" s="8">
        <v>46215</v>
      </c>
      <c r="J37" s="5"/>
      <c r="K37" s="2"/>
      <c r="L37" s="2"/>
    </row>
    <row r="38" spans="1:12">
      <c r="A38" s="9" t="s">
        <v>117</v>
      </c>
      <c r="B38" s="9" t="s">
        <v>118</v>
      </c>
      <c r="C38" s="9" t="s">
        <v>60</v>
      </c>
      <c r="D38" s="9" t="s">
        <v>33</v>
      </c>
      <c r="E38" s="9" t="s">
        <v>44</v>
      </c>
      <c r="F38" s="12">
        <v>2.8</v>
      </c>
      <c r="G38" s="13">
        <v>18</v>
      </c>
      <c r="H38" s="13">
        <v>5</v>
      </c>
      <c r="I38" s="14">
        <v>46215</v>
      </c>
      <c r="J38" s="15" t="s">
        <v>338</v>
      </c>
      <c r="K38" s="2"/>
      <c r="L38" s="2"/>
    </row>
    <row r="39" spans="1:1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2">
      <c r="A40" s="46" t="s">
        <v>119</v>
      </c>
      <c r="B40" s="46"/>
      <c r="C40" s="46"/>
      <c r="D40" s="46"/>
      <c r="E40" s="46"/>
      <c r="F40" s="46"/>
      <c r="G40" s="46"/>
      <c r="H40" s="46"/>
      <c r="I40" s="46"/>
      <c r="J40" s="46"/>
      <c r="K40" s="2"/>
      <c r="L40" s="2"/>
    </row>
    <row r="41" spans="1:12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2"/>
      <c r="L41" s="2"/>
    </row>
    <row r="42" spans="1:1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1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1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spans="1:1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spans="1:1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1:1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1:1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1:1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1:1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1:1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1:1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spans="1:1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spans="1:1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spans="1:1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spans="1:1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spans="1:1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spans="1:1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spans="1:1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spans="1:1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spans="1:1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spans="1:1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 spans="1:1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spans="1:1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spans="1:1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spans="1:1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spans="1:1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spans="1:1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 spans="1:1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 spans="1:1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 spans="1:1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 spans="1:1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spans="1:1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spans="1:1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 spans="1:1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spans="1:1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</sheetData>
  <mergeCells count="4">
    <mergeCell ref="A1:J2"/>
    <mergeCell ref="A3:J3"/>
    <mergeCell ref="A5:J6"/>
    <mergeCell ref="A40:J4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0"/>
  <sheetViews>
    <sheetView showGridLines="0" workbookViewId="0">
      <selection activeCell="H9" sqref="H9:H14"/>
    </sheetView>
  </sheetViews>
  <sheetFormatPr defaultColWidth="8.7109375" defaultRowHeight="12.75"/>
  <cols>
    <col min="1" max="1" width="7.42578125" customWidth="1"/>
    <col min="2" max="2" width="17.7109375" customWidth="1"/>
    <col min="3" max="4" width="10" customWidth="1"/>
    <col min="5" max="5" width="23.140625" customWidth="1"/>
    <col min="6" max="6" width="16.7109375" customWidth="1"/>
    <col min="7" max="7" width="19.5703125" customWidth="1"/>
    <col min="8" max="8" width="30.28515625" bestFit="1" customWidth="1"/>
  </cols>
  <sheetData>
    <row r="1" spans="1:12" ht="15" customHeight="1">
      <c r="A1" s="44" t="s">
        <v>120</v>
      </c>
      <c r="B1" s="44"/>
      <c r="C1" s="44"/>
      <c r="D1" s="44"/>
      <c r="E1" s="44"/>
      <c r="F1" s="44"/>
      <c r="G1" s="44"/>
      <c r="H1" s="44"/>
      <c r="I1" s="2"/>
      <c r="J1" s="2"/>
      <c r="K1" s="2"/>
      <c r="L1" s="2"/>
    </row>
    <row r="2" spans="1:12" ht="15" customHeight="1">
      <c r="A2" s="44"/>
      <c r="B2" s="44"/>
      <c r="C2" s="44"/>
      <c r="D2" s="44"/>
      <c r="E2" s="44"/>
      <c r="F2" s="44"/>
      <c r="G2" s="44"/>
      <c r="H2" s="44"/>
      <c r="I2" s="2"/>
      <c r="J2" s="2"/>
      <c r="K2" s="2"/>
      <c r="L2" s="2"/>
    </row>
    <row r="3" spans="1:12" ht="15" customHeight="1">
      <c r="A3" s="45" t="s">
        <v>1</v>
      </c>
      <c r="B3" s="45"/>
      <c r="C3" s="45"/>
      <c r="D3" s="45"/>
      <c r="E3" s="45"/>
      <c r="F3" s="45"/>
      <c r="G3" s="45"/>
      <c r="H3" s="45"/>
      <c r="I3" s="2"/>
      <c r="J3" s="2"/>
      <c r="K3" s="2"/>
      <c r="L3" s="2"/>
    </row>
    <row r="4" spans="1:12" ht="1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15" customHeight="1">
      <c r="A5" s="52" t="s">
        <v>121</v>
      </c>
      <c r="B5" s="52"/>
      <c r="C5" s="52"/>
      <c r="D5" s="52"/>
      <c r="E5" s="52"/>
      <c r="F5" s="52"/>
      <c r="G5" s="52"/>
      <c r="H5" s="52"/>
      <c r="I5" s="2"/>
      <c r="J5" s="2"/>
      <c r="K5" s="2"/>
      <c r="L5" s="2"/>
    </row>
    <row r="6" spans="1:12" ht="15" customHeight="1">
      <c r="A6" s="52"/>
      <c r="B6" s="52"/>
      <c r="C6" s="52"/>
      <c r="D6" s="52"/>
      <c r="E6" s="52"/>
      <c r="F6" s="52"/>
      <c r="G6" s="52"/>
      <c r="H6" s="52"/>
      <c r="I6" s="2"/>
      <c r="J6" s="2"/>
      <c r="K6" s="2"/>
      <c r="L6" s="2"/>
    </row>
    <row r="7" spans="1:12" ht="1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ht="15" customHeight="1">
      <c r="A8" s="1" t="s">
        <v>30</v>
      </c>
      <c r="B8" s="1" t="s">
        <v>34</v>
      </c>
      <c r="C8" s="1" t="s">
        <v>122</v>
      </c>
      <c r="D8" s="1" t="s">
        <v>123</v>
      </c>
      <c r="E8" s="1" t="s">
        <v>124</v>
      </c>
      <c r="F8" s="1" t="s">
        <v>125</v>
      </c>
      <c r="G8" s="1" t="s">
        <v>126</v>
      </c>
      <c r="H8" s="1" t="s">
        <v>39</v>
      </c>
      <c r="I8" s="2"/>
      <c r="J8" s="2"/>
      <c r="K8" s="2"/>
      <c r="L8" s="2"/>
    </row>
    <row r="9" spans="1:12" ht="15" customHeight="1">
      <c r="A9" s="5" t="s">
        <v>44</v>
      </c>
      <c r="B9" s="5" t="s">
        <v>127</v>
      </c>
      <c r="C9" s="5" t="s">
        <v>128</v>
      </c>
      <c r="D9" s="5">
        <v>211234567</v>
      </c>
      <c r="E9" s="5" t="s">
        <v>129</v>
      </c>
      <c r="F9" s="5" t="s">
        <v>130</v>
      </c>
      <c r="G9" s="5">
        <v>2</v>
      </c>
      <c r="H9" s="5"/>
      <c r="I9" s="2"/>
      <c r="J9" s="2"/>
      <c r="K9" s="2"/>
      <c r="L9" s="2"/>
    </row>
    <row r="10" spans="1:12" ht="15" customHeight="1">
      <c r="A10" s="5" t="s">
        <v>48</v>
      </c>
      <c r="B10" s="5" t="s">
        <v>131</v>
      </c>
      <c r="C10" s="5" t="s">
        <v>132</v>
      </c>
      <c r="D10" s="5">
        <v>219876543</v>
      </c>
      <c r="E10" s="5" t="s">
        <v>133</v>
      </c>
      <c r="F10" s="5" t="s">
        <v>134</v>
      </c>
      <c r="G10" s="5">
        <v>3</v>
      </c>
      <c r="H10" s="5"/>
      <c r="I10" s="2"/>
      <c r="J10" s="2"/>
      <c r="K10" s="2"/>
      <c r="L10" s="2"/>
    </row>
    <row r="11" spans="1:12" ht="15" customHeight="1">
      <c r="A11" s="5" t="s">
        <v>57</v>
      </c>
      <c r="B11" s="5" t="s">
        <v>135</v>
      </c>
      <c r="C11" s="5" t="s">
        <v>136</v>
      </c>
      <c r="D11" s="11">
        <v>214445566</v>
      </c>
      <c r="E11" s="5" t="s">
        <v>137</v>
      </c>
      <c r="F11" s="5" t="s">
        <v>138</v>
      </c>
      <c r="G11" s="5">
        <v>2</v>
      </c>
      <c r="H11" s="5" t="s">
        <v>350</v>
      </c>
      <c r="I11" s="2"/>
      <c r="J11" s="2"/>
      <c r="K11" s="2"/>
      <c r="L11" s="2"/>
    </row>
    <row r="12" spans="1:12" ht="15" customHeight="1">
      <c r="A12" s="5" t="s">
        <v>67</v>
      </c>
      <c r="B12" s="5" t="s">
        <v>139</v>
      </c>
      <c r="C12" s="5" t="s">
        <v>140</v>
      </c>
      <c r="D12" s="5">
        <v>218887766</v>
      </c>
      <c r="E12" s="5" t="s">
        <v>141</v>
      </c>
      <c r="F12" s="9" t="s">
        <v>130</v>
      </c>
      <c r="G12" s="5">
        <v>4</v>
      </c>
      <c r="H12" s="5" t="s">
        <v>351</v>
      </c>
      <c r="I12" s="2"/>
      <c r="J12" s="2"/>
      <c r="K12" s="2"/>
      <c r="L12" s="2"/>
    </row>
    <row r="13" spans="1:12" ht="15" customHeight="1">
      <c r="A13" s="5" t="s">
        <v>87</v>
      </c>
      <c r="B13" s="5" t="s">
        <v>142</v>
      </c>
      <c r="C13" s="5" t="s">
        <v>143</v>
      </c>
      <c r="D13" s="5">
        <v>210001122</v>
      </c>
      <c r="E13" s="9" t="s">
        <v>144</v>
      </c>
      <c r="F13" s="9" t="s">
        <v>145</v>
      </c>
      <c r="G13" s="5">
        <v>5</v>
      </c>
      <c r="H13" s="5" t="s">
        <v>352</v>
      </c>
      <c r="I13" s="2"/>
      <c r="J13" s="2"/>
      <c r="K13" s="2"/>
      <c r="L13" s="2"/>
    </row>
    <row r="14" spans="1:12" ht="15" customHeight="1">
      <c r="A14" s="5" t="s">
        <v>96</v>
      </c>
      <c r="B14" s="9" t="s">
        <v>146</v>
      </c>
      <c r="C14" s="5" t="s">
        <v>147</v>
      </c>
      <c r="D14" s="5">
        <v>263334455</v>
      </c>
      <c r="E14" s="5" t="s">
        <v>148</v>
      </c>
      <c r="F14" s="5" t="s">
        <v>149</v>
      </c>
      <c r="G14" s="5">
        <v>3</v>
      </c>
      <c r="H14" s="5" t="s">
        <v>353</v>
      </c>
      <c r="I14" s="2"/>
      <c r="J14" s="2"/>
      <c r="K14" s="2"/>
      <c r="L14" s="2"/>
    </row>
    <row r="15" spans="1:12" ht="1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ht="15" customHeight="1">
      <c r="A16" s="46" t="s">
        <v>150</v>
      </c>
      <c r="B16" s="46"/>
      <c r="C16" s="46"/>
      <c r="D16" s="46"/>
      <c r="E16" s="46"/>
      <c r="F16" s="46"/>
      <c r="G16" s="46"/>
      <c r="H16" s="46"/>
      <c r="I16" s="2"/>
      <c r="J16" s="2"/>
      <c r="K16" s="2"/>
      <c r="L16" s="2"/>
    </row>
    <row r="17" spans="1:12" ht="15" customHeight="1">
      <c r="A17" s="46"/>
      <c r="B17" s="46"/>
      <c r="C17" s="46"/>
      <c r="D17" s="46"/>
      <c r="E17" s="46"/>
      <c r="F17" s="46"/>
      <c r="G17" s="46"/>
      <c r="H17" s="46"/>
      <c r="I17" s="2"/>
      <c r="J17" s="2"/>
      <c r="K17" s="2"/>
      <c r="L17" s="2"/>
    </row>
    <row r="18" spans="1:12" ht="1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ht="1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ht="1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ht="1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ht="1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ht="1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ht="1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ht="1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ht="1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 ht="1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ht="1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ht="1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 ht="1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 ht="1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 ht="1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 ht="1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 ht="1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 ht="1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 ht="1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 ht="1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 ht="1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 ht="1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2" ht="1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 ht="1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12" ht="1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ht="1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 ht="1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 ht="1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2" ht="1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12" ht="1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12" ht="1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spans="1:12" ht="1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spans="1:12" ht="1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1:12" ht="1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1:12" ht="1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1:12" ht="1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1:12" ht="1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1:12" ht="1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1:12" ht="1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spans="1:12" ht="1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spans="1:12" ht="1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spans="1:12" ht="1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spans="1:12" ht="1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spans="1:12" ht="1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spans="1:12" ht="1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spans="1:12" ht="1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spans="1:12" ht="1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spans="1:12" ht="1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spans="1:12" ht="1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 spans="1:12" ht="1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spans="1:12" ht="1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spans="1:12" ht="1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spans="1:12" ht="1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spans="1:12" ht="1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spans="1:12" ht="1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 spans="1:12" ht="1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 spans="1:12" ht="1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 spans="1:12" ht="1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 spans="1:12" ht="1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spans="1:12" ht="1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spans="1:12" ht="1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 spans="1:12" ht="1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spans="1:12" ht="1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</sheetData>
  <mergeCells count="4">
    <mergeCell ref="A1:H2"/>
    <mergeCell ref="A3:H3"/>
    <mergeCell ref="A5:H6"/>
    <mergeCell ref="A16:H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78"/>
  <sheetViews>
    <sheetView topLeftCell="A6" workbookViewId="0">
      <selection sqref="A1:K2"/>
    </sheetView>
  </sheetViews>
  <sheetFormatPr defaultColWidth="8.7109375" defaultRowHeight="12.75"/>
  <cols>
    <col min="1" max="1" width="11" customWidth="1"/>
    <col min="2" max="2" width="17" customWidth="1"/>
    <col min="3" max="3" width="7.140625" customWidth="1"/>
    <col min="4" max="4" width="15.140625" customWidth="1"/>
    <col min="5" max="5" width="19.28515625" customWidth="1"/>
    <col min="6" max="6" width="7.42578125" customWidth="1"/>
    <col min="7" max="7" width="11.5703125" customWidth="1"/>
    <col min="8" max="8" width="12.5703125" customWidth="1"/>
    <col min="9" max="9" width="12.42578125" customWidth="1"/>
    <col min="10" max="10" width="15.28515625" customWidth="1"/>
    <col min="11" max="11" width="41.7109375" bestFit="1" customWidth="1"/>
  </cols>
  <sheetData>
    <row r="1" spans="1:12" ht="15" customHeight="1">
      <c r="A1" s="44" t="s">
        <v>151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2"/>
    </row>
    <row r="2" spans="1:12" ht="15" customHeight="1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2"/>
    </row>
    <row r="3" spans="1:12" ht="15" customHeight="1">
      <c r="A3" s="45" t="s">
        <v>1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2"/>
    </row>
    <row r="4" spans="1:12" ht="1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15" customHeight="1">
      <c r="A5" s="52" t="s">
        <v>152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2"/>
    </row>
    <row r="6" spans="1:12" ht="15" customHeight="1">
      <c r="A6" s="52"/>
      <c r="B6" s="52"/>
      <c r="C6" s="52"/>
      <c r="D6" s="52"/>
      <c r="E6" s="52"/>
      <c r="F6" s="52"/>
      <c r="G6" s="52"/>
      <c r="H6" s="52"/>
      <c r="I6" s="52"/>
      <c r="J6" s="52"/>
      <c r="K6" s="52"/>
      <c r="L6" s="2"/>
    </row>
    <row r="7" spans="1:12" ht="1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ht="15" customHeight="1">
      <c r="A8" s="1" t="s">
        <v>153</v>
      </c>
      <c r="B8" s="1" t="s">
        <v>154</v>
      </c>
      <c r="C8" s="1" t="s">
        <v>155</v>
      </c>
      <c r="D8" s="1" t="s">
        <v>156</v>
      </c>
      <c r="E8" s="1" t="s">
        <v>31</v>
      </c>
      <c r="F8" s="1" t="s">
        <v>157</v>
      </c>
      <c r="G8" s="1" t="s">
        <v>158</v>
      </c>
      <c r="H8" s="1" t="s">
        <v>159</v>
      </c>
      <c r="I8" s="1" t="s">
        <v>160</v>
      </c>
      <c r="J8" s="1" t="s">
        <v>161</v>
      </c>
      <c r="K8" s="1" t="s">
        <v>39</v>
      </c>
      <c r="L8" s="2"/>
    </row>
    <row r="9" spans="1:12" ht="15" customHeight="1">
      <c r="A9" s="5" t="s">
        <v>162</v>
      </c>
      <c r="B9" s="8">
        <v>46217</v>
      </c>
      <c r="C9" s="16">
        <v>0.70833333333333304</v>
      </c>
      <c r="D9" s="5" t="s">
        <v>40</v>
      </c>
      <c r="E9" s="5" t="s">
        <v>41</v>
      </c>
      <c r="F9" s="5" t="s">
        <v>163</v>
      </c>
      <c r="G9" s="7">
        <v>2</v>
      </c>
      <c r="H9" s="5" t="s">
        <v>164</v>
      </c>
      <c r="I9" s="5" t="s">
        <v>165</v>
      </c>
      <c r="J9" s="5" t="s">
        <v>166</v>
      </c>
      <c r="K9" s="5"/>
      <c r="L9" s="2"/>
    </row>
    <row r="10" spans="1:12" ht="15" customHeight="1">
      <c r="A10" s="5" t="s">
        <v>167</v>
      </c>
      <c r="B10" s="8">
        <v>46217</v>
      </c>
      <c r="C10" s="16">
        <v>0.77083333333333304</v>
      </c>
      <c r="D10" s="5" t="s">
        <v>45</v>
      </c>
      <c r="E10" s="5" t="s">
        <v>46</v>
      </c>
      <c r="F10" s="5" t="s">
        <v>168</v>
      </c>
      <c r="G10" s="7">
        <v>3</v>
      </c>
      <c r="H10" s="5" t="s">
        <v>169</v>
      </c>
      <c r="I10" s="5" t="s">
        <v>170</v>
      </c>
      <c r="J10" s="5" t="s">
        <v>171</v>
      </c>
      <c r="K10" s="5"/>
      <c r="L10" s="2"/>
    </row>
    <row r="11" spans="1:12" ht="15" customHeight="1">
      <c r="A11" s="5" t="s">
        <v>172</v>
      </c>
      <c r="B11" s="8">
        <v>46217</v>
      </c>
      <c r="C11" s="16">
        <v>0.79166666666666696</v>
      </c>
      <c r="D11" s="5" t="s">
        <v>49</v>
      </c>
      <c r="E11" s="5" t="s">
        <v>50</v>
      </c>
      <c r="F11" s="5" t="s">
        <v>168</v>
      </c>
      <c r="G11" s="7">
        <v>4</v>
      </c>
      <c r="H11" s="5" t="s">
        <v>173</v>
      </c>
      <c r="I11" s="5" t="s">
        <v>174</v>
      </c>
      <c r="J11" s="5" t="s">
        <v>175</v>
      </c>
      <c r="K11" s="5"/>
      <c r="L11" s="2"/>
    </row>
    <row r="12" spans="1:12" ht="15" customHeight="1">
      <c r="A12" s="5" t="s">
        <v>176</v>
      </c>
      <c r="B12" s="8">
        <v>46218</v>
      </c>
      <c r="C12" s="16">
        <v>0.85416666666666696</v>
      </c>
      <c r="D12" s="5" t="s">
        <v>51</v>
      </c>
      <c r="E12" s="5" t="s">
        <v>52</v>
      </c>
      <c r="F12" s="5" t="s">
        <v>163</v>
      </c>
      <c r="G12" s="7">
        <v>5</v>
      </c>
      <c r="H12" s="5" t="s">
        <v>177</v>
      </c>
      <c r="I12" s="5" t="s">
        <v>178</v>
      </c>
      <c r="J12" s="5" t="s">
        <v>166</v>
      </c>
      <c r="K12" s="5"/>
      <c r="L12" s="2"/>
    </row>
    <row r="13" spans="1:12" ht="15" customHeight="1">
      <c r="A13" s="5" t="s">
        <v>179</v>
      </c>
      <c r="B13" s="8">
        <v>46218</v>
      </c>
      <c r="C13" s="16">
        <v>0.875</v>
      </c>
      <c r="D13" s="5" t="s">
        <v>53</v>
      </c>
      <c r="E13" s="5" t="s">
        <v>54</v>
      </c>
      <c r="F13" s="5" t="s">
        <v>168</v>
      </c>
      <c r="G13" s="7">
        <v>6</v>
      </c>
      <c r="H13" s="5" t="s">
        <v>180</v>
      </c>
      <c r="I13" s="5" t="s">
        <v>165</v>
      </c>
      <c r="J13" s="5" t="s">
        <v>171</v>
      </c>
      <c r="K13" s="5" t="s">
        <v>339</v>
      </c>
      <c r="L13" s="2"/>
    </row>
    <row r="14" spans="1:12" ht="15" customHeight="1">
      <c r="A14" s="5" t="s">
        <v>181</v>
      </c>
      <c r="B14" s="8">
        <v>46218</v>
      </c>
      <c r="C14" s="16">
        <v>0.9375</v>
      </c>
      <c r="D14" s="5" t="s">
        <v>55</v>
      </c>
      <c r="E14" s="5" t="s">
        <v>56</v>
      </c>
      <c r="F14" s="5" t="s">
        <v>168</v>
      </c>
      <c r="G14" s="7">
        <v>7</v>
      </c>
      <c r="H14" s="5" t="s">
        <v>182</v>
      </c>
      <c r="I14" s="5" t="s">
        <v>170</v>
      </c>
      <c r="J14" s="5" t="s">
        <v>175</v>
      </c>
      <c r="K14" s="5"/>
      <c r="L14" s="2"/>
    </row>
    <row r="15" spans="1:12" ht="15" customHeight="1">
      <c r="A15" s="5" t="s">
        <v>183</v>
      </c>
      <c r="B15" s="8">
        <v>46219</v>
      </c>
      <c r="C15" s="16">
        <v>0.95833333333333304</v>
      </c>
      <c r="D15" s="5" t="s">
        <v>58</v>
      </c>
      <c r="E15" s="5" t="s">
        <v>59</v>
      </c>
      <c r="F15" s="5" t="s">
        <v>163</v>
      </c>
      <c r="G15" s="7">
        <v>8</v>
      </c>
      <c r="H15" s="5" t="s">
        <v>184</v>
      </c>
      <c r="I15" s="5" t="s">
        <v>174</v>
      </c>
      <c r="J15" s="5" t="s">
        <v>166</v>
      </c>
      <c r="K15" s="5"/>
      <c r="L15" s="2"/>
    </row>
    <row r="16" spans="1:12" ht="15" customHeight="1">
      <c r="A16" s="9" t="s">
        <v>185</v>
      </c>
      <c r="B16" s="14">
        <v>46219</v>
      </c>
      <c r="C16" s="17">
        <v>2.0833333333333301E-2</v>
      </c>
      <c r="D16" s="9" t="s">
        <v>61</v>
      </c>
      <c r="E16" s="9" t="s">
        <v>62</v>
      </c>
      <c r="F16" s="9" t="s">
        <v>168</v>
      </c>
      <c r="G16" s="13">
        <v>2</v>
      </c>
      <c r="H16" s="9" t="s">
        <v>186</v>
      </c>
      <c r="I16" s="9" t="s">
        <v>178</v>
      </c>
      <c r="J16" s="9" t="s">
        <v>171</v>
      </c>
      <c r="K16" s="9" t="s">
        <v>340</v>
      </c>
      <c r="L16" s="2"/>
    </row>
    <row r="17" spans="1:12" ht="15" customHeight="1">
      <c r="A17" s="5" t="s">
        <v>187</v>
      </c>
      <c r="B17" s="8">
        <v>46219</v>
      </c>
      <c r="C17" s="16">
        <v>0.70833333333333304</v>
      </c>
      <c r="D17" s="5" t="s">
        <v>64</v>
      </c>
      <c r="E17" s="5" t="s">
        <v>65</v>
      </c>
      <c r="F17" s="5" t="s">
        <v>168</v>
      </c>
      <c r="G17" s="7">
        <v>3</v>
      </c>
      <c r="H17" s="5" t="s">
        <v>188</v>
      </c>
      <c r="I17" s="5" t="s">
        <v>165</v>
      </c>
      <c r="J17" s="5" t="s">
        <v>175</v>
      </c>
      <c r="K17" s="5"/>
      <c r="L17" s="2"/>
    </row>
    <row r="18" spans="1:12" ht="15" customHeight="1">
      <c r="A18" s="5" t="s">
        <v>189</v>
      </c>
      <c r="B18" s="8">
        <v>46220</v>
      </c>
      <c r="C18" s="16">
        <v>0.77083333333333304</v>
      </c>
      <c r="D18" s="5" t="s">
        <v>68</v>
      </c>
      <c r="E18" s="5" t="s">
        <v>69</v>
      </c>
      <c r="F18" s="5" t="s">
        <v>163</v>
      </c>
      <c r="G18" s="7">
        <v>4</v>
      </c>
      <c r="H18" s="5" t="s">
        <v>190</v>
      </c>
      <c r="I18" s="5" t="s">
        <v>170</v>
      </c>
      <c r="J18" s="5" t="s">
        <v>166</v>
      </c>
      <c r="K18" s="5"/>
      <c r="L18" s="2"/>
    </row>
    <row r="19" spans="1:12" ht="15" customHeight="1">
      <c r="A19" s="5" t="s">
        <v>191</v>
      </c>
      <c r="B19" s="8">
        <v>46220</v>
      </c>
      <c r="C19" s="16">
        <v>0.79166666666666696</v>
      </c>
      <c r="D19" s="5" t="s">
        <v>72</v>
      </c>
      <c r="E19" s="5" t="s">
        <v>73</v>
      </c>
      <c r="F19" s="5" t="s">
        <v>168</v>
      </c>
      <c r="G19" s="7">
        <v>5</v>
      </c>
      <c r="H19" s="5" t="s">
        <v>192</v>
      </c>
      <c r="I19" s="5" t="s">
        <v>174</v>
      </c>
      <c r="J19" s="5" t="s">
        <v>171</v>
      </c>
      <c r="K19" s="5"/>
      <c r="L19" s="2"/>
    </row>
    <row r="20" spans="1:12" ht="15" customHeight="1">
      <c r="A20" s="5" t="s">
        <v>193</v>
      </c>
      <c r="B20" s="8">
        <v>46220</v>
      </c>
      <c r="C20" s="16">
        <v>0.85416666666666696</v>
      </c>
      <c r="D20" s="5" t="s">
        <v>74</v>
      </c>
      <c r="E20" s="5" t="s">
        <v>75</v>
      </c>
      <c r="F20" s="5" t="s">
        <v>168</v>
      </c>
      <c r="G20" s="7">
        <v>6</v>
      </c>
      <c r="H20" s="5" t="s">
        <v>194</v>
      </c>
      <c r="I20" s="5" t="s">
        <v>178</v>
      </c>
      <c r="J20" s="5" t="s">
        <v>175</v>
      </c>
      <c r="K20" s="5"/>
      <c r="L20" s="2"/>
    </row>
    <row r="21" spans="1:12" ht="15" customHeight="1">
      <c r="A21" s="9" t="s">
        <v>195</v>
      </c>
      <c r="B21" s="14">
        <v>46221</v>
      </c>
      <c r="C21" s="18">
        <v>0.875</v>
      </c>
      <c r="D21" s="9" t="s">
        <v>76</v>
      </c>
      <c r="E21" s="9" t="s">
        <v>77</v>
      </c>
      <c r="F21" s="9" t="s">
        <v>163</v>
      </c>
      <c r="G21" s="13">
        <v>7</v>
      </c>
      <c r="H21" s="9" t="s">
        <v>196</v>
      </c>
      <c r="I21" s="9" t="s">
        <v>165</v>
      </c>
      <c r="J21" s="9" t="s">
        <v>166</v>
      </c>
      <c r="K21" s="9" t="s">
        <v>341</v>
      </c>
      <c r="L21" s="2"/>
    </row>
    <row r="22" spans="1:12" ht="15" customHeight="1">
      <c r="A22" s="5" t="s">
        <v>197</v>
      </c>
      <c r="B22" s="8">
        <v>46221</v>
      </c>
      <c r="C22" s="16">
        <v>0.9375</v>
      </c>
      <c r="D22" s="5" t="s">
        <v>79</v>
      </c>
      <c r="E22" s="5" t="s">
        <v>80</v>
      </c>
      <c r="F22" s="5" t="s">
        <v>168</v>
      </c>
      <c r="G22" s="7">
        <v>8</v>
      </c>
      <c r="H22" s="5" t="s">
        <v>198</v>
      </c>
      <c r="I22" s="5" t="s">
        <v>170</v>
      </c>
      <c r="J22" s="5" t="s">
        <v>171</v>
      </c>
      <c r="K22" s="5"/>
      <c r="L22" s="2"/>
    </row>
    <row r="23" spans="1:12" ht="15" customHeight="1">
      <c r="A23" s="5" t="s">
        <v>199</v>
      </c>
      <c r="B23" s="8">
        <v>46221</v>
      </c>
      <c r="C23" s="16">
        <v>0.95833333333333304</v>
      </c>
      <c r="D23" s="5" t="s">
        <v>82</v>
      </c>
      <c r="E23" s="5" t="s">
        <v>83</v>
      </c>
      <c r="F23" s="5" t="s">
        <v>168</v>
      </c>
      <c r="G23" s="7">
        <v>2</v>
      </c>
      <c r="H23" s="5" t="s">
        <v>200</v>
      </c>
      <c r="I23" s="5" t="s">
        <v>174</v>
      </c>
      <c r="J23" s="5" t="s">
        <v>175</v>
      </c>
      <c r="K23" s="5"/>
      <c r="L23" s="2"/>
    </row>
    <row r="24" spans="1:12" ht="15" customHeight="1">
      <c r="A24" s="5" t="s">
        <v>201</v>
      </c>
      <c r="B24" s="8">
        <v>46222</v>
      </c>
      <c r="C24" s="16">
        <v>0.72916666666666696</v>
      </c>
      <c r="D24" s="5" t="s">
        <v>84</v>
      </c>
      <c r="E24" s="5" t="s">
        <v>85</v>
      </c>
      <c r="F24" s="5" t="s">
        <v>163</v>
      </c>
      <c r="G24" s="7">
        <v>3</v>
      </c>
      <c r="H24" s="5" t="s">
        <v>202</v>
      </c>
      <c r="I24" s="5" t="s">
        <v>178</v>
      </c>
      <c r="J24" s="5" t="s">
        <v>166</v>
      </c>
      <c r="K24" s="5" t="s">
        <v>342</v>
      </c>
      <c r="L24" s="2"/>
    </row>
    <row r="25" spans="1:12" ht="15" customHeight="1">
      <c r="A25" s="5" t="s">
        <v>203</v>
      </c>
      <c r="B25" s="8">
        <v>46222</v>
      </c>
      <c r="C25" s="16">
        <v>0.70833333333333304</v>
      </c>
      <c r="D25" s="5" t="s">
        <v>88</v>
      </c>
      <c r="E25" s="5" t="s">
        <v>89</v>
      </c>
      <c r="F25" s="5" t="s">
        <v>168</v>
      </c>
      <c r="G25" s="7">
        <v>4</v>
      </c>
      <c r="H25" s="5" t="s">
        <v>204</v>
      </c>
      <c r="I25" s="5" t="s">
        <v>165</v>
      </c>
      <c r="J25" s="5" t="s">
        <v>171</v>
      </c>
      <c r="K25" s="5"/>
      <c r="L25" s="2"/>
    </row>
    <row r="26" spans="1:12" ht="15" customHeight="1">
      <c r="A26" s="5" t="s">
        <v>205</v>
      </c>
      <c r="B26" s="8">
        <v>46222</v>
      </c>
      <c r="C26" s="16">
        <v>0.77083333333333304</v>
      </c>
      <c r="D26" s="5" t="s">
        <v>90</v>
      </c>
      <c r="E26" s="5" t="s">
        <v>91</v>
      </c>
      <c r="F26" s="5" t="s">
        <v>168</v>
      </c>
      <c r="G26" s="7">
        <v>5</v>
      </c>
      <c r="H26" s="5" t="s">
        <v>206</v>
      </c>
      <c r="I26" s="5" t="s">
        <v>170</v>
      </c>
      <c r="J26" s="5" t="s">
        <v>175</v>
      </c>
      <c r="K26" s="5"/>
      <c r="L26" s="2"/>
    </row>
    <row r="27" spans="1:12" ht="15" customHeight="1">
      <c r="A27" s="9" t="s">
        <v>207</v>
      </c>
      <c r="B27" s="14">
        <v>46223</v>
      </c>
      <c r="C27" s="18">
        <v>0.79166666666666696</v>
      </c>
      <c r="D27" s="9" t="s">
        <v>92</v>
      </c>
      <c r="E27" s="9" t="s">
        <v>93</v>
      </c>
      <c r="F27" s="9" t="s">
        <v>163</v>
      </c>
      <c r="G27" s="13">
        <v>6</v>
      </c>
      <c r="H27" s="9" t="s">
        <v>208</v>
      </c>
      <c r="I27" s="9" t="s">
        <v>174</v>
      </c>
      <c r="J27" s="9" t="s">
        <v>166</v>
      </c>
      <c r="K27" s="9" t="s">
        <v>343</v>
      </c>
      <c r="L27" s="2"/>
    </row>
    <row r="28" spans="1:12" ht="15" customHeight="1">
      <c r="A28" s="5" t="s">
        <v>209</v>
      </c>
      <c r="B28" s="8">
        <v>46223</v>
      </c>
      <c r="C28" s="16">
        <v>0.85416666666666696</v>
      </c>
      <c r="D28" s="5" t="s">
        <v>94</v>
      </c>
      <c r="E28" s="5" t="s">
        <v>95</v>
      </c>
      <c r="F28" s="5" t="s">
        <v>168</v>
      </c>
      <c r="G28" s="7">
        <v>7</v>
      </c>
      <c r="H28" s="5" t="s">
        <v>210</v>
      </c>
      <c r="I28" s="5" t="s">
        <v>178</v>
      </c>
      <c r="J28" s="5" t="s">
        <v>171</v>
      </c>
      <c r="K28" s="5"/>
      <c r="L28" s="2"/>
    </row>
    <row r="29" spans="1:12" ht="15" customHeight="1">
      <c r="A29" s="5" t="s">
        <v>211</v>
      </c>
      <c r="B29" s="8">
        <v>46223</v>
      </c>
      <c r="C29" s="16">
        <v>0.875</v>
      </c>
      <c r="D29" s="5" t="s">
        <v>97</v>
      </c>
      <c r="E29" s="5" t="s">
        <v>98</v>
      </c>
      <c r="F29" s="5" t="s">
        <v>168</v>
      </c>
      <c r="G29" s="7">
        <v>8</v>
      </c>
      <c r="H29" s="5" t="s">
        <v>212</v>
      </c>
      <c r="I29" s="5" t="s">
        <v>165</v>
      </c>
      <c r="J29" s="5" t="s">
        <v>175</v>
      </c>
      <c r="K29" s="5"/>
      <c r="L29" s="2"/>
    </row>
    <row r="30" spans="1:12" ht="15" customHeight="1">
      <c r="A30" s="5" t="s">
        <v>213</v>
      </c>
      <c r="B30" s="8">
        <v>46224</v>
      </c>
      <c r="C30" s="16">
        <v>0.9375</v>
      </c>
      <c r="D30" s="5" t="s">
        <v>100</v>
      </c>
      <c r="E30" s="5" t="s">
        <v>101</v>
      </c>
      <c r="F30" s="5" t="s">
        <v>163</v>
      </c>
      <c r="G30" s="7">
        <v>2</v>
      </c>
      <c r="H30" s="5" t="s">
        <v>214</v>
      </c>
      <c r="I30" s="5" t="s">
        <v>170</v>
      </c>
      <c r="J30" s="5" t="s">
        <v>166</v>
      </c>
      <c r="K30" s="5"/>
      <c r="L30" s="2"/>
    </row>
    <row r="31" spans="1:12" ht="15" customHeight="1">
      <c r="A31" s="5" t="s">
        <v>215</v>
      </c>
      <c r="B31" s="8">
        <v>46224</v>
      </c>
      <c r="C31" s="16">
        <v>0.95833333333333304</v>
      </c>
      <c r="D31" s="5" t="s">
        <v>102</v>
      </c>
      <c r="E31" s="5" t="s">
        <v>103</v>
      </c>
      <c r="F31" s="5" t="s">
        <v>168</v>
      </c>
      <c r="G31" s="7">
        <v>3</v>
      </c>
      <c r="H31" s="5" t="s">
        <v>216</v>
      </c>
      <c r="I31" s="5" t="s">
        <v>174</v>
      </c>
      <c r="J31" s="5" t="s">
        <v>171</v>
      </c>
      <c r="K31" s="5" t="s">
        <v>344</v>
      </c>
      <c r="L31" s="2"/>
    </row>
    <row r="32" spans="1:12" ht="15" customHeight="1">
      <c r="A32" t="s">
        <v>217</v>
      </c>
      <c r="B32" s="19">
        <v>46225</v>
      </c>
      <c r="C32" s="20">
        <v>2.0833333333333301E-2</v>
      </c>
      <c r="D32" t="s">
        <v>104</v>
      </c>
      <c r="E32" t="s">
        <v>105</v>
      </c>
      <c r="F32" t="s">
        <v>168</v>
      </c>
      <c r="G32">
        <v>4</v>
      </c>
      <c r="H32" t="s">
        <v>218</v>
      </c>
      <c r="I32" t="s">
        <v>178</v>
      </c>
      <c r="J32" t="s">
        <v>175</v>
      </c>
      <c r="K32" t="s">
        <v>345</v>
      </c>
    </row>
    <row r="33" spans="1:12" ht="15" customHeight="1">
      <c r="A33" s="5" t="s">
        <v>219</v>
      </c>
      <c r="B33" s="8">
        <v>46225</v>
      </c>
      <c r="C33" s="16">
        <v>0.70833333333333304</v>
      </c>
      <c r="D33" s="5" t="s">
        <v>106</v>
      </c>
      <c r="E33" s="5" t="s">
        <v>107</v>
      </c>
      <c r="F33" s="5" t="s">
        <v>163</v>
      </c>
      <c r="G33" s="7">
        <v>5</v>
      </c>
      <c r="H33" s="5" t="s">
        <v>220</v>
      </c>
      <c r="I33" s="5" t="s">
        <v>165</v>
      </c>
      <c r="J33" s="5" t="s">
        <v>166</v>
      </c>
      <c r="K33" s="5"/>
      <c r="L33" s="2"/>
    </row>
    <row r="34" spans="1:12" ht="15" customHeight="1">
      <c r="A34" s="5" t="s">
        <v>221</v>
      </c>
      <c r="B34" s="8">
        <v>46225</v>
      </c>
      <c r="C34" s="16">
        <v>0.77083333333333304</v>
      </c>
      <c r="D34" s="5" t="s">
        <v>108</v>
      </c>
      <c r="E34" s="5" t="s">
        <v>109</v>
      </c>
      <c r="F34" s="5" t="s">
        <v>168</v>
      </c>
      <c r="G34" s="7">
        <v>6</v>
      </c>
      <c r="H34" s="5" t="s">
        <v>222</v>
      </c>
      <c r="I34" s="5" t="s">
        <v>170</v>
      </c>
      <c r="J34" s="5" t="s">
        <v>171</v>
      </c>
      <c r="K34" s="5"/>
      <c r="L34" s="2"/>
    </row>
    <row r="35" spans="1:12" ht="15" customHeight="1">
      <c r="A35" s="5" t="s">
        <v>223</v>
      </c>
      <c r="B35" s="8">
        <v>46225</v>
      </c>
      <c r="C35" s="16">
        <v>0.79166666666666696</v>
      </c>
      <c r="D35" s="5" t="s">
        <v>110</v>
      </c>
      <c r="E35" s="5" t="s">
        <v>111</v>
      </c>
      <c r="F35" s="5" t="s">
        <v>168</v>
      </c>
      <c r="G35" s="7">
        <v>7</v>
      </c>
      <c r="H35" s="5" t="s">
        <v>224</v>
      </c>
      <c r="I35" s="5" t="s">
        <v>174</v>
      </c>
      <c r="J35" s="5" t="s">
        <v>175</v>
      </c>
      <c r="K35" s="5"/>
      <c r="L35" s="2"/>
    </row>
    <row r="36" spans="1:12" ht="15" customHeight="1">
      <c r="A36" s="9" t="s">
        <v>225</v>
      </c>
      <c r="B36" s="14">
        <v>46226</v>
      </c>
      <c r="C36" s="18">
        <v>0.85416666666666696</v>
      </c>
      <c r="D36" s="9" t="s">
        <v>112</v>
      </c>
      <c r="E36" s="9" t="s">
        <v>113</v>
      </c>
      <c r="F36" s="9" t="s">
        <v>163</v>
      </c>
      <c r="G36" s="21">
        <v>1</v>
      </c>
      <c r="H36" s="9" t="s">
        <v>226</v>
      </c>
      <c r="I36" s="9" t="s">
        <v>178</v>
      </c>
      <c r="J36" s="9" t="s">
        <v>166</v>
      </c>
      <c r="K36" s="9" t="s">
        <v>346</v>
      </c>
      <c r="L36" s="2"/>
    </row>
    <row r="37" spans="1:12" ht="15" customHeight="1">
      <c r="A37" s="5" t="s">
        <v>227</v>
      </c>
      <c r="B37" s="8">
        <v>46226</v>
      </c>
      <c r="C37" s="16">
        <v>0.875</v>
      </c>
      <c r="D37" s="5" t="s">
        <v>115</v>
      </c>
      <c r="E37" s="5" t="s">
        <v>116</v>
      </c>
      <c r="F37" s="5" t="s">
        <v>168</v>
      </c>
      <c r="G37" s="7">
        <v>2</v>
      </c>
      <c r="H37" s="5" t="s">
        <v>228</v>
      </c>
      <c r="I37" s="5" t="s">
        <v>165</v>
      </c>
      <c r="J37" s="5" t="s">
        <v>171</v>
      </c>
      <c r="K37" s="5"/>
      <c r="L37" s="2"/>
    </row>
    <row r="38" spans="1:12" ht="15" customHeight="1">
      <c r="A38" s="5" t="s">
        <v>229</v>
      </c>
      <c r="B38" s="8">
        <v>46226</v>
      </c>
      <c r="C38" s="16">
        <v>0.9375</v>
      </c>
      <c r="D38" s="5" t="s">
        <v>40</v>
      </c>
      <c r="E38" s="5" t="s">
        <v>41</v>
      </c>
      <c r="F38" s="5" t="s">
        <v>168</v>
      </c>
      <c r="G38" s="7">
        <v>3</v>
      </c>
      <c r="H38" s="5" t="s">
        <v>230</v>
      </c>
      <c r="I38" s="5" t="s">
        <v>170</v>
      </c>
      <c r="J38" s="5" t="s">
        <v>175</v>
      </c>
      <c r="K38" s="5"/>
      <c r="L38" s="2"/>
    </row>
    <row r="39" spans="1:12" ht="15" customHeight="1">
      <c r="A39" s="5"/>
      <c r="B39" s="28"/>
      <c r="C39" s="29"/>
      <c r="D39" s="30"/>
      <c r="E39" s="30"/>
      <c r="F39" s="30"/>
      <c r="G39" s="31"/>
      <c r="H39" s="30"/>
      <c r="I39" s="30"/>
      <c r="J39" s="30"/>
      <c r="K39" s="32"/>
      <c r="L39" s="2"/>
    </row>
    <row r="40" spans="1:12" ht="15" customHeight="1">
      <c r="A40" s="53" t="s">
        <v>231</v>
      </c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2"/>
    </row>
    <row r="41" spans="1:12" ht="15" customHeight="1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2"/>
    </row>
    <row r="42" spans="1:12" ht="15" customHeight="1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2"/>
    </row>
    <row r="43" spans="1:12" ht="1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 ht="1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 ht="1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2" ht="1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12" ht="1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12" ht="1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spans="1:12" ht="1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spans="1:12" ht="1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1:12" ht="1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1:12" ht="1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1:12" ht="1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1:12" ht="1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1:12" ht="1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1:12" ht="1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spans="1:12" ht="1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spans="1:12" ht="1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spans="1:12" ht="1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spans="1:12" ht="1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spans="1:12" ht="1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spans="1:12" ht="1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spans="1:12" ht="1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spans="1:12" ht="1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spans="1:12" ht="1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spans="1:12" ht="1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 spans="1:12" ht="1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spans="1:12" ht="1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spans="1:12" ht="1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spans="1:12" ht="1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spans="1:12" ht="1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spans="1:12" ht="1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 spans="1:12" ht="1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 spans="1:12" ht="1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 spans="1:12" ht="1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 spans="1:12" ht="1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spans="1:12" ht="1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spans="1:12" ht="15" customHeight="1"/>
  </sheetData>
  <mergeCells count="4">
    <mergeCell ref="A1:K2"/>
    <mergeCell ref="A3:K3"/>
    <mergeCell ref="A5:K6"/>
    <mergeCell ref="A40:K4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80"/>
  <sheetViews>
    <sheetView showGridLines="0" workbookViewId="0">
      <selection activeCell="D25" sqref="D25"/>
    </sheetView>
  </sheetViews>
  <sheetFormatPr defaultColWidth="8.7109375" defaultRowHeight="12.75"/>
  <cols>
    <col min="1" max="1" width="27" bestFit="1" customWidth="1"/>
    <col min="2" max="10" width="10.7109375" customWidth="1"/>
    <col min="11" max="11" width="9.42578125" bestFit="1" customWidth="1"/>
  </cols>
  <sheetData>
    <row r="1" spans="1:12" ht="15" customHeight="1">
      <c r="A1" s="44" t="s">
        <v>232</v>
      </c>
      <c r="B1" s="44"/>
      <c r="C1" s="44"/>
      <c r="D1" s="44"/>
      <c r="E1" s="44"/>
      <c r="F1" s="44"/>
      <c r="G1" s="44"/>
      <c r="H1" s="44"/>
      <c r="I1" s="44"/>
      <c r="J1" s="44"/>
      <c r="K1" s="2"/>
      <c r="L1" s="2"/>
    </row>
    <row r="2" spans="1:12" ht="15" customHeight="1">
      <c r="A2" s="44"/>
      <c r="B2" s="44"/>
      <c r="C2" s="44"/>
      <c r="D2" s="44"/>
      <c r="E2" s="44"/>
      <c r="F2" s="44"/>
      <c r="G2" s="44"/>
      <c r="H2" s="44"/>
      <c r="I2" s="44"/>
      <c r="J2" s="44"/>
      <c r="K2" s="2"/>
      <c r="L2" s="2"/>
    </row>
    <row r="3" spans="1:12" ht="15" customHeight="1">
      <c r="A3" s="45" t="s">
        <v>1</v>
      </c>
      <c r="B3" s="45"/>
      <c r="C3" s="45"/>
      <c r="D3" s="45"/>
      <c r="E3" s="45"/>
      <c r="F3" s="45"/>
      <c r="G3" s="45"/>
      <c r="H3" s="45"/>
      <c r="I3" s="45"/>
      <c r="J3" s="45"/>
      <c r="K3" s="2"/>
      <c r="L3" s="2"/>
    </row>
    <row r="4" spans="1:12" ht="1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15" customHeight="1">
      <c r="A5" s="52" t="s">
        <v>233</v>
      </c>
      <c r="B5" s="52"/>
      <c r="C5" s="52"/>
      <c r="D5" s="52"/>
      <c r="E5" s="52"/>
      <c r="F5" s="52"/>
      <c r="G5" s="52"/>
      <c r="H5" s="52"/>
      <c r="I5" s="52"/>
      <c r="J5" s="52"/>
      <c r="K5" s="2"/>
      <c r="L5" s="2"/>
    </row>
    <row r="6" spans="1:12" ht="15" customHeight="1">
      <c r="A6" s="52"/>
      <c r="B6" s="52"/>
      <c r="C6" s="52"/>
      <c r="D6" s="52"/>
      <c r="E6" s="52"/>
      <c r="F6" s="52"/>
      <c r="G6" s="52"/>
      <c r="H6" s="52"/>
      <c r="I6" s="52"/>
      <c r="J6" s="52"/>
      <c r="K6" s="2"/>
      <c r="L6" s="2"/>
    </row>
    <row r="7" spans="1:12" ht="1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ht="15" customHeight="1">
      <c r="A8" s="1" t="s">
        <v>234</v>
      </c>
      <c r="B8" s="1" t="s">
        <v>235</v>
      </c>
      <c r="C8" s="1" t="s">
        <v>236</v>
      </c>
      <c r="D8" s="1" t="s">
        <v>9</v>
      </c>
      <c r="E8" s="1" t="s">
        <v>11</v>
      </c>
      <c r="F8" s="1" t="s">
        <v>13</v>
      </c>
      <c r="G8" s="1" t="s">
        <v>15</v>
      </c>
      <c r="H8" s="1" t="s">
        <v>237</v>
      </c>
      <c r="I8" s="1" t="s">
        <v>238</v>
      </c>
      <c r="J8" s="1" t="s">
        <v>239</v>
      </c>
      <c r="K8" s="2"/>
      <c r="L8" s="2"/>
    </row>
    <row r="9" spans="1:12" ht="15" customHeight="1">
      <c r="A9" s="5" t="s">
        <v>240</v>
      </c>
      <c r="B9" s="5" t="s">
        <v>241</v>
      </c>
      <c r="C9" s="5" t="s">
        <v>242</v>
      </c>
      <c r="D9" s="11" t="s">
        <v>243</v>
      </c>
      <c r="E9" s="11" t="s">
        <v>244</v>
      </c>
      <c r="F9" s="11" t="s">
        <v>245</v>
      </c>
      <c r="G9" s="11" t="s">
        <v>246</v>
      </c>
      <c r="H9" s="11" t="s">
        <v>247</v>
      </c>
      <c r="I9" s="11" t="s">
        <v>248</v>
      </c>
      <c r="J9" s="11" t="s">
        <v>249</v>
      </c>
      <c r="K9" s="2"/>
      <c r="L9" s="2"/>
    </row>
    <row r="10" spans="1:12" ht="15" customHeight="1">
      <c r="A10" s="5" t="s">
        <v>250</v>
      </c>
      <c r="B10" s="5" t="s">
        <v>251</v>
      </c>
      <c r="C10" s="5" t="s">
        <v>252</v>
      </c>
      <c r="D10" s="11" t="s">
        <v>253</v>
      </c>
      <c r="E10" s="11" t="s">
        <v>254</v>
      </c>
      <c r="F10" s="11" t="s">
        <v>255</v>
      </c>
      <c r="G10" s="11" t="s">
        <v>256</v>
      </c>
      <c r="H10" s="11" t="s">
        <v>257</v>
      </c>
      <c r="I10" s="11" t="s">
        <v>258</v>
      </c>
      <c r="J10" s="11" t="s">
        <v>259</v>
      </c>
      <c r="K10" s="2"/>
      <c r="L10" s="2"/>
    </row>
    <row r="11" spans="1:12" ht="15" customHeight="1">
      <c r="A11" s="5" t="s">
        <v>260</v>
      </c>
      <c r="B11" s="5">
        <v>1</v>
      </c>
      <c r="C11" s="5">
        <v>2</v>
      </c>
      <c r="D11" s="11">
        <v>3</v>
      </c>
      <c r="E11" s="11">
        <v>4</v>
      </c>
      <c r="F11" s="11">
        <v>5</v>
      </c>
      <c r="G11" s="11">
        <v>6</v>
      </c>
      <c r="H11" s="11">
        <v>7</v>
      </c>
      <c r="I11" s="11">
        <v>8</v>
      </c>
      <c r="J11" s="11">
        <v>9</v>
      </c>
      <c r="K11" s="2"/>
      <c r="L11" s="2"/>
    </row>
    <row r="12" spans="1:12" ht="15" customHeight="1">
      <c r="A12" s="5" t="s">
        <v>261</v>
      </c>
      <c r="B12" s="5">
        <v>10</v>
      </c>
      <c r="C12" s="5">
        <v>15</v>
      </c>
      <c r="D12" s="11">
        <v>20</v>
      </c>
      <c r="E12" s="11">
        <v>25</v>
      </c>
      <c r="F12" s="11">
        <v>30</v>
      </c>
      <c r="G12" s="11">
        <v>35</v>
      </c>
      <c r="H12" s="11">
        <v>40</v>
      </c>
      <c r="I12" s="11">
        <v>45</v>
      </c>
      <c r="J12" s="11">
        <v>50</v>
      </c>
      <c r="K12" s="2"/>
      <c r="L12" s="2"/>
    </row>
    <row r="13" spans="1:12" ht="15" customHeight="1">
      <c r="A13" s="5" t="s">
        <v>262</v>
      </c>
      <c r="B13" s="22">
        <v>0.05</v>
      </c>
      <c r="C13" s="22">
        <v>0.1</v>
      </c>
      <c r="D13" s="23">
        <v>0.15</v>
      </c>
      <c r="E13" s="23">
        <v>0.2</v>
      </c>
      <c r="F13" s="23">
        <v>0.25</v>
      </c>
      <c r="G13" s="23">
        <v>0.3</v>
      </c>
      <c r="H13" s="23">
        <v>0.35</v>
      </c>
      <c r="I13" s="23">
        <v>0.4</v>
      </c>
      <c r="J13" s="23">
        <v>0.45</v>
      </c>
      <c r="K13" s="2"/>
      <c r="L13" s="2"/>
    </row>
    <row r="14" spans="1:12" ht="15" customHeight="1">
      <c r="A14" s="5" t="s">
        <v>263</v>
      </c>
      <c r="B14" s="8">
        <v>46235</v>
      </c>
      <c r="C14" s="8">
        <v>46236</v>
      </c>
      <c r="D14" s="24">
        <v>46237</v>
      </c>
      <c r="E14" s="24">
        <v>46238</v>
      </c>
      <c r="F14" s="24">
        <v>46239</v>
      </c>
      <c r="G14" s="24">
        <v>46240</v>
      </c>
      <c r="H14" s="24">
        <v>46241</v>
      </c>
      <c r="I14" s="24">
        <v>46242</v>
      </c>
      <c r="J14" s="24">
        <v>46243</v>
      </c>
      <c r="K14" s="2"/>
      <c r="L14" s="2"/>
    </row>
    <row r="15" spans="1:12" ht="15" customHeight="1">
      <c r="A15" s="5" t="s">
        <v>264</v>
      </c>
      <c r="B15" s="8">
        <v>46237</v>
      </c>
      <c r="C15" s="8">
        <v>46238</v>
      </c>
      <c r="D15" s="24">
        <v>46239</v>
      </c>
      <c r="E15" s="24">
        <v>46240</v>
      </c>
      <c r="F15" s="24">
        <v>46241</v>
      </c>
      <c r="G15" s="24">
        <v>46244</v>
      </c>
      <c r="H15" s="24">
        <v>46245</v>
      </c>
      <c r="I15" s="24">
        <v>46246</v>
      </c>
      <c r="J15" s="24">
        <v>46247</v>
      </c>
      <c r="K15" s="2"/>
      <c r="L15" s="2"/>
    </row>
    <row r="16" spans="1:12" ht="15" customHeight="1">
      <c r="A16" s="5" t="s">
        <v>265</v>
      </c>
      <c r="B16" s="5" t="s">
        <v>266</v>
      </c>
      <c r="C16" s="5" t="s">
        <v>267</v>
      </c>
      <c r="D16" s="11" t="s">
        <v>268</v>
      </c>
      <c r="E16" s="11" t="s">
        <v>269</v>
      </c>
      <c r="F16" s="11" t="s">
        <v>270</v>
      </c>
      <c r="G16" s="11" t="s">
        <v>271</v>
      </c>
      <c r="H16" s="11" t="s">
        <v>272</v>
      </c>
      <c r="I16" s="11" t="s">
        <v>273</v>
      </c>
      <c r="J16" s="11" t="s">
        <v>274</v>
      </c>
      <c r="K16" s="2"/>
      <c r="L16" s="2"/>
    </row>
    <row r="17" spans="1:12" ht="15" customHeight="1">
      <c r="A17" s="5" t="s">
        <v>275</v>
      </c>
      <c r="B17" s="16">
        <v>0.70833333333333304</v>
      </c>
      <c r="C17" s="16">
        <v>0.72916666666666696</v>
      </c>
      <c r="D17" s="25">
        <v>0.75</v>
      </c>
      <c r="E17" s="25">
        <v>0.77083333333333304</v>
      </c>
      <c r="F17" s="25">
        <v>0.79166666666666696</v>
      </c>
      <c r="G17" s="25">
        <v>0.8125</v>
      </c>
      <c r="H17" s="25">
        <v>0.83333333333333304</v>
      </c>
      <c r="I17" s="25">
        <v>0.85416666666666696</v>
      </c>
      <c r="J17" s="25">
        <v>0.875</v>
      </c>
      <c r="K17" s="2"/>
      <c r="L17" s="2"/>
    </row>
    <row r="18" spans="1:12" ht="15" customHeight="1">
      <c r="A18" s="5" t="s">
        <v>276</v>
      </c>
      <c r="B18" s="5" t="s">
        <v>277</v>
      </c>
      <c r="C18" s="5" t="s">
        <v>278</v>
      </c>
      <c r="D18" s="11" t="s">
        <v>279</v>
      </c>
      <c r="E18" s="11" t="s">
        <v>280</v>
      </c>
      <c r="F18" s="11" t="s">
        <v>281</v>
      </c>
      <c r="G18" s="11" t="s">
        <v>282</v>
      </c>
      <c r="H18" s="11" t="s">
        <v>283</v>
      </c>
      <c r="I18" s="11" t="s">
        <v>284</v>
      </c>
      <c r="J18" s="11" t="s">
        <v>285</v>
      </c>
      <c r="K18" s="2"/>
      <c r="L18" s="2"/>
    </row>
    <row r="19" spans="1:12" ht="1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ht="15" customHeight="1">
      <c r="A20" s="46" t="s">
        <v>286</v>
      </c>
      <c r="B20" s="46"/>
      <c r="C20" s="46"/>
      <c r="D20" s="46"/>
      <c r="E20" s="46"/>
      <c r="F20" s="46"/>
      <c r="G20" s="46"/>
      <c r="H20" s="46"/>
      <c r="I20" s="46"/>
      <c r="J20" s="46"/>
      <c r="K20" s="2"/>
      <c r="L20" s="2"/>
    </row>
    <row r="21" spans="1:12" ht="15" customHeight="1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2"/>
      <c r="L21" s="2"/>
    </row>
    <row r="22" spans="1:12" ht="15" customHeight="1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2"/>
      <c r="L22" s="2"/>
    </row>
    <row r="23" spans="1:12" ht="1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ht="15" customHeight="1">
      <c r="A24" s="11" t="s">
        <v>287</v>
      </c>
      <c r="B24" s="11"/>
      <c r="C24" s="11"/>
      <c r="D24" s="11"/>
      <c r="E24" s="11"/>
      <c r="F24" s="11"/>
      <c r="G24" s="11"/>
      <c r="H24" s="11"/>
      <c r="I24" s="11"/>
      <c r="J24" s="11"/>
      <c r="K24" s="2"/>
      <c r="L24" s="2"/>
    </row>
    <row r="25" spans="1:12" ht="15" customHeight="1">
      <c r="A25" s="11" t="s">
        <v>288</v>
      </c>
      <c r="B25" s="11" t="s">
        <v>289</v>
      </c>
      <c r="C25" s="11" t="s">
        <v>290</v>
      </c>
      <c r="D25" s="11" t="s">
        <v>291</v>
      </c>
      <c r="E25" s="11" t="s">
        <v>292</v>
      </c>
      <c r="F25" s="11" t="s">
        <v>293</v>
      </c>
      <c r="G25" s="11" t="s">
        <v>294</v>
      </c>
      <c r="H25" s="11" t="s">
        <v>295</v>
      </c>
      <c r="I25" s="11" t="s">
        <v>296</v>
      </c>
      <c r="J25" s="11" t="s">
        <v>297</v>
      </c>
      <c r="K25" s="2" t="s">
        <v>298</v>
      </c>
      <c r="L25" s="2"/>
    </row>
    <row r="26" spans="1:12" ht="1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 ht="1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ht="1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ht="1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 ht="1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 ht="1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 ht="1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 ht="1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 ht="1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 ht="1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 ht="1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 ht="1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 ht="1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 ht="1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2" ht="1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 ht="1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12" ht="1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ht="1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 ht="1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 ht="1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2" ht="1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12" ht="1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12" ht="1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spans="1:12" ht="1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spans="1:12" ht="1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1:12" ht="1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1:12" ht="1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1:12" ht="1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1:12" ht="1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1:12" ht="1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1:12" ht="1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spans="1:12" ht="1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spans="1:12" ht="1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spans="1:12" ht="1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spans="1:12" ht="1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spans="1:12" ht="1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spans="1:12" ht="1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spans="1:12" ht="1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spans="1:12" ht="1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spans="1:12" ht="1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spans="1:12" ht="1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 spans="1:12" ht="1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spans="1:12" ht="1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spans="1:12" ht="1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spans="1:12" ht="1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spans="1:12" ht="1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spans="1:12" ht="1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 spans="1:12" ht="1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 spans="1:12" ht="1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 spans="1:12" ht="1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 spans="1:12" ht="1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spans="1:12" ht="1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spans="1:12" ht="1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 spans="1:12" ht="1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spans="1:12" ht="1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</sheetData>
  <mergeCells count="4">
    <mergeCell ref="A1:J2"/>
    <mergeCell ref="A3:J3"/>
    <mergeCell ref="A5:J6"/>
    <mergeCell ref="A20:J2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80"/>
  <sheetViews>
    <sheetView showGridLines="0" tabSelected="1" workbookViewId="0">
      <selection activeCell="C30" sqref="C30"/>
    </sheetView>
  </sheetViews>
  <sheetFormatPr defaultColWidth="8.7109375" defaultRowHeight="12.75"/>
  <cols>
    <col min="1" max="1" width="25.28515625" customWidth="1"/>
    <col min="2" max="3" width="16.28515625" customWidth="1"/>
    <col min="4" max="4" width="17" customWidth="1"/>
    <col min="5" max="6" width="16.28515625" customWidth="1"/>
    <col min="7" max="7" width="52.5703125" customWidth="1"/>
  </cols>
  <sheetData>
    <row r="1" spans="1:12">
      <c r="A1" s="44" t="s">
        <v>299</v>
      </c>
      <c r="B1" s="44"/>
      <c r="C1" s="44"/>
      <c r="D1" s="44"/>
      <c r="E1" s="44"/>
      <c r="F1" s="44"/>
      <c r="G1" s="44"/>
      <c r="H1" s="2"/>
      <c r="I1" s="2"/>
      <c r="J1" s="2"/>
      <c r="K1" s="2"/>
      <c r="L1" s="2"/>
    </row>
    <row r="2" spans="1:12">
      <c r="A2" s="44"/>
      <c r="B2" s="44"/>
      <c r="C2" s="44"/>
      <c r="D2" s="44"/>
      <c r="E2" s="44"/>
      <c r="F2" s="44"/>
      <c r="G2" s="44"/>
      <c r="H2" s="2"/>
      <c r="I2" s="2"/>
      <c r="J2" s="2"/>
      <c r="K2" s="2"/>
      <c r="L2" s="2"/>
    </row>
    <row r="3" spans="1:12">
      <c r="A3" s="45" t="s">
        <v>1</v>
      </c>
      <c r="B3" s="45"/>
      <c r="C3" s="45"/>
      <c r="D3" s="45"/>
      <c r="E3" s="45"/>
      <c r="F3" s="45"/>
      <c r="G3" s="45"/>
      <c r="H3" s="2"/>
      <c r="I3" s="2"/>
      <c r="J3" s="2"/>
      <c r="K3" s="2"/>
      <c r="L3" s="2"/>
    </row>
    <row r="4" spans="1:1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>
      <c r="A5" s="46" t="s">
        <v>300</v>
      </c>
      <c r="B5" s="46"/>
      <c r="C5" s="46"/>
      <c r="D5" s="46"/>
      <c r="E5" s="46"/>
      <c r="F5" s="46"/>
      <c r="G5" s="46"/>
      <c r="H5" s="2"/>
      <c r="I5" s="2"/>
      <c r="J5" s="2"/>
      <c r="K5" s="2"/>
      <c r="L5" s="2"/>
    </row>
    <row r="6" spans="1:12">
      <c r="A6" s="46"/>
      <c r="B6" s="46"/>
      <c r="C6" s="46"/>
      <c r="D6" s="46"/>
      <c r="E6" s="46"/>
      <c r="F6" s="46"/>
      <c r="G6" s="46"/>
      <c r="H6" s="2"/>
      <c r="I6" s="2"/>
      <c r="J6" s="2"/>
      <c r="K6" s="2"/>
      <c r="L6" s="2"/>
    </row>
    <row r="7" spans="1:1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>
      <c r="A8" s="1" t="s">
        <v>301</v>
      </c>
      <c r="B8" s="47" t="s">
        <v>302</v>
      </c>
      <c r="C8" s="47"/>
      <c r="D8" s="47"/>
      <c r="E8" s="47"/>
      <c r="F8" s="47"/>
      <c r="G8" s="1" t="s">
        <v>303</v>
      </c>
      <c r="H8" s="2"/>
      <c r="I8" s="2"/>
      <c r="J8" s="2"/>
      <c r="K8" s="2"/>
      <c r="L8" s="2"/>
    </row>
    <row r="9" spans="1:12">
      <c r="A9" s="33" t="s">
        <v>304</v>
      </c>
      <c r="B9" s="48" t="s">
        <v>305</v>
      </c>
      <c r="C9" s="48"/>
      <c r="D9" s="48"/>
      <c r="E9" s="48"/>
      <c r="F9" s="48"/>
      <c r="G9" s="34" t="str">
        <f>"Confirmado: versão de resolução preservada separadamente."</f>
        <v>Confirmado: versão de resolução preservada separadamente.</v>
      </c>
      <c r="H9" s="2"/>
      <c r="I9" s="2"/>
      <c r="J9" s="2"/>
      <c r="K9" s="2"/>
      <c r="L9" s="2"/>
    </row>
    <row r="10" spans="1:12">
      <c r="A10" s="33" t="s">
        <v>304</v>
      </c>
      <c r="B10" s="48" t="s">
        <v>306</v>
      </c>
      <c r="C10" s="48"/>
      <c r="D10" s="48"/>
      <c r="E10" s="48"/>
      <c r="F10" s="48"/>
      <c r="G10" s="34" t="str">
        <f>"Conforme: folhas organizadas na sequência pedida."</f>
        <v>Conforme: folhas organizadas na sequência pedida.</v>
      </c>
      <c r="H10" s="2"/>
      <c r="I10" s="2"/>
      <c r="J10" s="2"/>
      <c r="K10" s="2"/>
      <c r="L10" s="2"/>
    </row>
    <row r="11" spans="1:12">
      <c r="A11" s="33" t="s">
        <v>304</v>
      </c>
      <c r="B11" s="48" t="s">
        <v>307</v>
      </c>
      <c r="C11" s="48"/>
      <c r="D11" s="48"/>
      <c r="E11" s="48"/>
      <c r="F11" s="48"/>
      <c r="G11" s="34" t="str">
        <f>"Conforme: RASCUNHO removido e modelo preservado."</f>
        <v>Conforme: RASCUNHO removido e modelo preservado.</v>
      </c>
      <c r="H11" s="2"/>
      <c r="I11" s="2"/>
      <c r="J11" s="2"/>
      <c r="K11" s="2"/>
      <c r="L11" s="2"/>
    </row>
    <row r="12" spans="1:12">
      <c r="A12" s="33" t="str">
        <f>IF(AND(COUNTA(PRODUTOS!A9:A38)=30,COUNTBLANK(PRODUTOS!A9:I38)=0),"X","")</f>
        <v>X</v>
      </c>
      <c r="B12" s="48" t="s">
        <v>308</v>
      </c>
      <c r="C12" s="48"/>
      <c r="D12" s="48"/>
      <c r="E12" s="48"/>
      <c r="F12" s="48"/>
      <c r="G12" s="34" t="str">
        <f>"Produtos completos: "&amp;COUNTA(PRODUTOS!A9:A38)&amp;" de 30."</f>
        <v>Produtos completos: 30 de 30.</v>
      </c>
      <c r="H12" s="2"/>
      <c r="I12" s="2"/>
      <c r="J12" s="2"/>
      <c r="K12" s="2"/>
      <c r="L12" s="2"/>
    </row>
    <row r="13" spans="1:12">
      <c r="A13" s="33" t="str">
        <f>IF(AND(COUNTA(FORNECEDORES!A9:A14)=6,COUNTBLANK(FORNECEDORES!A9:G14)=0),"X","")</f>
        <v>X</v>
      </c>
      <c r="B13" s="48" t="s">
        <v>309</v>
      </c>
      <c r="C13" s="48"/>
      <c r="D13" s="48"/>
      <c r="E13" s="48"/>
      <c r="F13" s="48"/>
      <c r="G13" s="34" t="str">
        <f>"Fornecedores completos: "&amp;COUNTA(FORNECEDORES!A9:A14)&amp;" de 6."</f>
        <v>Fornecedores completos: 6 de 6.</v>
      </c>
      <c r="H13" s="2"/>
      <c r="I13" s="2"/>
      <c r="J13" s="2"/>
      <c r="K13" s="2"/>
      <c r="L13" s="2"/>
    </row>
    <row r="14" spans="1:12">
      <c r="A14" s="33" t="str">
        <f>IF(AND(COUNTA(MOVIMENTOS!A9:A38)=30,COUNTBLANK(MOVIMENTOS!A9:J38)=0),"X","")</f>
        <v>X</v>
      </c>
      <c r="B14" s="48" t="s">
        <v>310</v>
      </c>
      <c r="C14" s="48"/>
      <c r="D14" s="48"/>
      <c r="E14" s="48"/>
      <c r="F14" s="48"/>
      <c r="G14" s="34" t="str">
        <f>"Movimentos completos: "&amp;COUNTA(MOVIMENTOS!A9:A38)&amp;" de 30."</f>
        <v>Movimentos completos: 30 de 30.</v>
      </c>
      <c r="H14" s="2"/>
      <c r="I14" s="2"/>
      <c r="J14" s="2"/>
      <c r="K14" s="2"/>
      <c r="L14" s="2"/>
    </row>
    <row r="15" spans="1:12">
      <c r="A15" s="33" t="str">
        <f>IF(AND(COUNT(PRODUTOS!F9:I38)=120,COUNT(MOVIMENTOS!B9:C38)=60),"X","")</f>
        <v>X</v>
      </c>
      <c r="B15" s="48" t="s">
        <v>311</v>
      </c>
      <c r="C15" s="48"/>
      <c r="D15" s="48"/>
      <c r="E15" s="48"/>
      <c r="F15" s="48"/>
      <c r="G15" s="34" t="str">
        <f>"Campos numéricos verificados: "&amp;(COUNT(PRODUTOS!F9:I38)+COUNT(MOVIMENTOS!B9:C38))&amp;"."</f>
        <v>Campos numéricos verificados: 180.</v>
      </c>
      <c r="H15" s="2"/>
      <c r="I15" s="2"/>
      <c r="J15" s="2"/>
      <c r="K15" s="2"/>
      <c r="L15" s="2"/>
    </row>
    <row r="16" spans="1:12">
      <c r="A16" s="33" t="s">
        <v>304</v>
      </c>
      <c r="B16" s="48" t="s">
        <v>312</v>
      </c>
      <c r="C16" s="48"/>
      <c r="D16" s="48"/>
      <c r="E16" s="48"/>
      <c r="F16" s="48"/>
      <c r="G16" s="34" t="str">
        <f>"Operações concluídas; áreas temporárias sem conteúdo."</f>
        <v>Operações concluídas; áreas temporárias sem conteúdo.</v>
      </c>
      <c r="H16" s="2"/>
      <c r="I16" s="2"/>
      <c r="J16" s="2"/>
      <c r="K16" s="2"/>
      <c r="L16" s="2"/>
    </row>
    <row r="17" spans="1:12">
      <c r="A17" s="33" t="s">
        <v>304</v>
      </c>
      <c r="B17" s="48" t="s">
        <v>313</v>
      </c>
      <c r="C17" s="48"/>
      <c r="D17" s="48"/>
      <c r="E17" s="48"/>
      <c r="F17" s="48"/>
      <c r="G17" s="34" t="s">
        <v>347</v>
      </c>
      <c r="H17" s="2"/>
      <c r="I17" s="2"/>
      <c r="J17" s="2"/>
      <c r="K17" s="2"/>
      <c r="L17" s="2"/>
    </row>
    <row r="18" spans="1:12">
      <c r="A18" s="33" t="s">
        <v>304</v>
      </c>
      <c r="B18" s="48" t="s">
        <v>314</v>
      </c>
      <c r="C18" s="48"/>
      <c r="D18" s="48"/>
      <c r="E18" s="48"/>
      <c r="F18" s="48"/>
      <c r="G18" s="34" t="s">
        <v>348</v>
      </c>
      <c r="H18" s="2"/>
      <c r="I18" s="2"/>
      <c r="J18" s="2"/>
      <c r="K18" s="2"/>
      <c r="L18" s="2"/>
    </row>
    <row r="19" spans="1:1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ht="18">
      <c r="A21" s="42" t="s">
        <v>315</v>
      </c>
      <c r="B21" s="42"/>
      <c r="C21" s="42"/>
      <c r="D21" s="42"/>
      <c r="E21" s="42"/>
      <c r="F21" s="42"/>
      <c r="G21" s="42"/>
      <c r="H21" s="2"/>
      <c r="I21" s="2"/>
      <c r="J21" s="2"/>
      <c r="K21" s="2"/>
      <c r="L21" s="2"/>
    </row>
    <row r="22" spans="1:12">
      <c r="A22" s="43" t="s">
        <v>316</v>
      </c>
      <c r="B22" s="43"/>
      <c r="C22" s="43"/>
      <c r="D22" s="43"/>
      <c r="E22" s="43"/>
      <c r="F22" s="43"/>
      <c r="G22" s="43"/>
      <c r="H22" s="2"/>
      <c r="I22" s="2"/>
      <c r="J22" s="2"/>
      <c r="K22" s="2"/>
      <c r="L22" s="2"/>
    </row>
    <row r="23" spans="1:1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>
      <c r="A24" s="35" t="s">
        <v>317</v>
      </c>
      <c r="B24" s="35" t="s">
        <v>318</v>
      </c>
      <c r="C24" s="35" t="s">
        <v>288</v>
      </c>
      <c r="D24" s="41" t="s">
        <v>349</v>
      </c>
      <c r="E24" s="2"/>
      <c r="F24" s="2"/>
      <c r="G24" s="2"/>
      <c r="H24" s="2"/>
      <c r="I24" s="2"/>
      <c r="J24" s="2"/>
      <c r="K24" s="2"/>
      <c r="L24" s="2"/>
    </row>
    <row r="25" spans="1:12">
      <c r="A25" s="36" t="s">
        <v>319</v>
      </c>
      <c r="B25" s="37">
        <f>COUNTA(PRODUTOS!A9:A38)</f>
        <v>30</v>
      </c>
      <c r="C25" s="39" t="str">
        <f>IF(B25&gt;=D25,"Conforme","Rever")</f>
        <v>Conforme</v>
      </c>
      <c r="D25" s="40">
        <v>30</v>
      </c>
      <c r="E25" s="2"/>
      <c r="F25" s="2"/>
      <c r="G25" s="2"/>
      <c r="H25" s="2"/>
      <c r="I25" s="2"/>
      <c r="J25" s="2"/>
      <c r="K25" s="2"/>
      <c r="L25" s="2"/>
    </row>
    <row r="26" spans="1:12">
      <c r="A26" s="36" t="s">
        <v>320</v>
      </c>
      <c r="B26" s="37">
        <f>COUNTA(FORNECEDORES!A9:A14)</f>
        <v>6</v>
      </c>
      <c r="C26" s="39" t="str">
        <f t="shared" ref="C26:C30" si="0">IF(B26&gt;=D26,"Conforme","Rever")</f>
        <v>Conforme</v>
      </c>
      <c r="D26" s="40">
        <v>6</v>
      </c>
      <c r="E26" s="2"/>
      <c r="F26" s="2"/>
      <c r="G26" s="2"/>
      <c r="H26" s="2"/>
      <c r="I26" s="2"/>
      <c r="J26" s="2"/>
      <c r="K26" s="2"/>
      <c r="L26" s="2"/>
    </row>
    <row r="27" spans="1:12">
      <c r="A27" s="36" t="s">
        <v>321</v>
      </c>
      <c r="B27" s="37">
        <f>COUNTA(MOVIMENTOS!A9:A38)</f>
        <v>30</v>
      </c>
      <c r="C27" s="39" t="str">
        <f t="shared" si="0"/>
        <v>Conforme</v>
      </c>
      <c r="D27" s="40">
        <v>30</v>
      </c>
      <c r="E27" s="2"/>
      <c r="F27" s="2"/>
      <c r="G27" s="2"/>
      <c r="H27" s="2"/>
      <c r="I27" s="2"/>
      <c r="J27" s="2"/>
      <c r="K27" s="2"/>
      <c r="L27" s="2"/>
    </row>
    <row r="28" spans="1:12">
      <c r="A28" s="36" t="s">
        <v>322</v>
      </c>
      <c r="B28" s="37">
        <f>SUMIF(MOVIMENTOS!F9:F38,"Entrada",MOVIMENTOS!G9:G38)</f>
        <v>43</v>
      </c>
      <c r="C28" s="39" t="str">
        <f t="shared" si="0"/>
        <v>Conforme</v>
      </c>
      <c r="D28" s="40">
        <v>1</v>
      </c>
      <c r="E28" s="2"/>
      <c r="F28" s="2"/>
      <c r="G28" s="2"/>
      <c r="H28" s="2"/>
      <c r="I28" s="2"/>
      <c r="J28" s="2"/>
      <c r="K28" s="2"/>
      <c r="L28" s="2"/>
    </row>
    <row r="29" spans="1:12">
      <c r="A29" s="36" t="s">
        <v>323</v>
      </c>
      <c r="B29" s="37">
        <f>SUMIF(MOVIMENTOS!F9:F38,"Saída",MOVIMENTOS!G9:G38)</f>
        <v>95</v>
      </c>
      <c r="C29" s="39" t="str">
        <f t="shared" si="0"/>
        <v>Conforme</v>
      </c>
      <c r="D29" s="40">
        <v>1</v>
      </c>
      <c r="E29" s="2"/>
      <c r="F29" s="2"/>
      <c r="G29" s="2"/>
      <c r="H29" s="2"/>
      <c r="I29" s="2"/>
      <c r="J29" s="2"/>
      <c r="K29" s="2"/>
      <c r="L29" s="2"/>
    </row>
    <row r="30" spans="1:12">
      <c r="A30" s="36" t="s">
        <v>324</v>
      </c>
      <c r="B30" s="38">
        <f>SUMPRODUCT(PRODUTOS!F9:F38,PRODUTOS!G9:G38)</f>
        <v>2911.5</v>
      </c>
      <c r="C30" s="39" t="str">
        <f t="shared" si="0"/>
        <v>Conforme</v>
      </c>
      <c r="D30" s="40">
        <v>1</v>
      </c>
      <c r="E30" s="2"/>
      <c r="F30" s="2"/>
      <c r="G30" s="2"/>
      <c r="H30" s="2"/>
      <c r="I30" s="2"/>
      <c r="J30" s="2"/>
      <c r="K30" s="2"/>
      <c r="L30" s="2"/>
    </row>
    <row r="31" spans="1:1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1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1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1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spans="1:1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spans="1:1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1:1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1:1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1:1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1:1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1:1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1:1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spans="1:1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spans="1:1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spans="1:1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spans="1:1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spans="1:1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spans="1:1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spans="1:1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spans="1:1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spans="1:1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spans="1:1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 spans="1:1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spans="1:1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spans="1:1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spans="1:1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spans="1:1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spans="1:1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 spans="1:1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 spans="1:1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 spans="1:1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 spans="1:1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spans="1:1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spans="1:1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 spans="1:1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spans="1:1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</sheetData>
  <mergeCells count="16">
    <mergeCell ref="A21:G21"/>
    <mergeCell ref="A22:G22"/>
    <mergeCell ref="A1:G2"/>
    <mergeCell ref="A3:G3"/>
    <mergeCell ref="A5:G6"/>
    <mergeCell ref="B8:F8"/>
    <mergeCell ref="B9:F9"/>
    <mergeCell ref="B15:F15"/>
    <mergeCell ref="B16:F16"/>
    <mergeCell ref="B17:F17"/>
    <mergeCell ref="B18:F18"/>
    <mergeCell ref="B10:F10"/>
    <mergeCell ref="B11:F11"/>
    <mergeCell ref="B12:F12"/>
    <mergeCell ref="B13:F13"/>
    <mergeCell ref="B14:F14"/>
  </mergeCells>
  <dataValidations count="1">
    <dataValidation type="list" sqref="A9:A18" xr:uid="{00000000-0002-0000-0500-000000000000}">
      <formula1>",X"</formula1>
      <formula2>0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80"/>
  <sheetViews>
    <sheetView showGridLines="0" workbookViewId="0"/>
  </sheetViews>
  <sheetFormatPr defaultColWidth="8.7109375" defaultRowHeight="12.75"/>
  <cols>
    <col min="1" max="1" width="11" customWidth="1"/>
    <col min="2" max="2" width="10.140625" customWidth="1"/>
    <col min="3" max="3" width="5.5703125" customWidth="1"/>
    <col min="4" max="4" width="15.140625" customWidth="1"/>
    <col min="5" max="5" width="19.28515625" customWidth="1"/>
    <col min="6" max="6" width="7.42578125" customWidth="1"/>
    <col min="7" max="7" width="11.5703125" customWidth="1"/>
    <col min="8" max="8" width="12.5703125" customWidth="1"/>
    <col min="9" max="9" width="12.42578125" customWidth="1"/>
    <col min="10" max="10" width="15.28515625" customWidth="1"/>
    <col min="11" max="11" width="49.28515625" customWidth="1"/>
  </cols>
  <sheetData>
    <row r="1" spans="1:12" ht="15" customHeight="1">
      <c r="A1" s="44" t="s">
        <v>151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2"/>
    </row>
    <row r="2" spans="1:12" ht="15" customHeight="1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2"/>
    </row>
    <row r="3" spans="1:12" ht="15" customHeight="1">
      <c r="A3" s="45" t="s">
        <v>1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2"/>
    </row>
    <row r="4" spans="1:12" ht="1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15" customHeight="1">
      <c r="A5" s="52" t="s">
        <v>152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2"/>
    </row>
    <row r="6" spans="1:12" ht="15" customHeight="1">
      <c r="A6" s="52"/>
      <c r="B6" s="52"/>
      <c r="C6" s="52"/>
      <c r="D6" s="52"/>
      <c r="E6" s="52"/>
      <c r="F6" s="52"/>
      <c r="G6" s="52"/>
      <c r="H6" s="52"/>
      <c r="I6" s="52"/>
      <c r="J6" s="52"/>
      <c r="K6" s="52"/>
      <c r="L6" s="2"/>
    </row>
    <row r="7" spans="1:12" ht="1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ht="15" customHeight="1">
      <c r="A8" s="1" t="s">
        <v>153</v>
      </c>
      <c r="B8" s="1" t="s">
        <v>154</v>
      </c>
      <c r="C8" s="1" t="s">
        <v>155</v>
      </c>
      <c r="D8" s="1" t="s">
        <v>156</v>
      </c>
      <c r="E8" s="1" t="s">
        <v>31</v>
      </c>
      <c r="F8" s="1" t="s">
        <v>157</v>
      </c>
      <c r="G8" s="1" t="s">
        <v>158</v>
      </c>
      <c r="H8" s="1" t="s">
        <v>159</v>
      </c>
      <c r="I8" s="1" t="s">
        <v>160</v>
      </c>
      <c r="J8" s="1" t="s">
        <v>161</v>
      </c>
      <c r="K8" s="1" t="s">
        <v>39</v>
      </c>
      <c r="L8" s="2"/>
    </row>
    <row r="9" spans="1:12" ht="15" customHeight="1">
      <c r="A9" s="5" t="s">
        <v>162</v>
      </c>
      <c r="B9" s="8">
        <v>46217</v>
      </c>
      <c r="C9" s="16">
        <v>0.70833333333333304</v>
      </c>
      <c r="D9" s="5" t="s">
        <v>40</v>
      </c>
      <c r="E9" s="5" t="s">
        <v>41</v>
      </c>
      <c r="F9" s="5" t="s">
        <v>163</v>
      </c>
      <c r="G9" s="7">
        <v>2</v>
      </c>
      <c r="H9" s="5" t="s">
        <v>164</v>
      </c>
      <c r="I9" s="5" t="s">
        <v>165</v>
      </c>
      <c r="J9" s="5" t="s">
        <v>166</v>
      </c>
      <c r="K9" s="5"/>
      <c r="L9" s="2"/>
    </row>
    <row r="10" spans="1:12" ht="15" customHeight="1">
      <c r="A10" s="5" t="s">
        <v>167</v>
      </c>
      <c r="B10" s="8">
        <v>46217</v>
      </c>
      <c r="C10" s="16">
        <v>0.77083333333333304</v>
      </c>
      <c r="D10" s="5" t="s">
        <v>45</v>
      </c>
      <c r="E10" s="5" t="s">
        <v>46</v>
      </c>
      <c r="F10" s="5" t="s">
        <v>168</v>
      </c>
      <c r="G10" s="7">
        <v>3</v>
      </c>
      <c r="H10" s="5" t="s">
        <v>169</v>
      </c>
      <c r="I10" s="5" t="s">
        <v>170</v>
      </c>
      <c r="J10" s="5" t="s">
        <v>171</v>
      </c>
      <c r="K10" s="5"/>
      <c r="L10" s="2"/>
    </row>
    <row r="11" spans="1:12" ht="15" customHeight="1">
      <c r="A11" s="5" t="s">
        <v>172</v>
      </c>
      <c r="B11" s="8">
        <v>46217</v>
      </c>
      <c r="C11" s="16">
        <v>0.79166666666666696</v>
      </c>
      <c r="D11" s="5" t="s">
        <v>49</v>
      </c>
      <c r="E11" s="5" t="s">
        <v>50</v>
      </c>
      <c r="F11" s="5" t="s">
        <v>168</v>
      </c>
      <c r="G11" s="7">
        <v>4</v>
      </c>
      <c r="H11" s="5" t="s">
        <v>173</v>
      </c>
      <c r="I11" s="5" t="s">
        <v>174</v>
      </c>
      <c r="J11" s="5" t="s">
        <v>175</v>
      </c>
      <c r="K11" s="5"/>
      <c r="L11" s="2"/>
    </row>
    <row r="12" spans="1:12" ht="15" customHeight="1">
      <c r="A12" s="5" t="s">
        <v>176</v>
      </c>
      <c r="B12" s="8">
        <v>46218</v>
      </c>
      <c r="C12" s="16">
        <v>0.85416666666666696</v>
      </c>
      <c r="D12" s="5" t="s">
        <v>51</v>
      </c>
      <c r="E12" s="5" t="s">
        <v>52</v>
      </c>
      <c r="F12" s="5" t="s">
        <v>163</v>
      </c>
      <c r="G12" s="7">
        <v>5</v>
      </c>
      <c r="H12" s="5" t="s">
        <v>177</v>
      </c>
      <c r="I12" s="5" t="s">
        <v>178</v>
      </c>
      <c r="J12" s="5" t="s">
        <v>166</v>
      </c>
      <c r="K12" s="5"/>
      <c r="L12" s="2"/>
    </row>
    <row r="13" spans="1:12" ht="15" customHeight="1">
      <c r="A13" s="5" t="s">
        <v>179</v>
      </c>
      <c r="B13" s="8">
        <v>46218</v>
      </c>
      <c r="C13" s="16">
        <v>0.875</v>
      </c>
      <c r="D13" s="5" t="s">
        <v>325</v>
      </c>
      <c r="E13" s="5" t="s">
        <v>54</v>
      </c>
      <c r="F13" s="5" t="s">
        <v>168</v>
      </c>
      <c r="G13" s="7">
        <v>6</v>
      </c>
      <c r="H13" s="5" t="s">
        <v>180</v>
      </c>
      <c r="I13" s="5" t="s">
        <v>165</v>
      </c>
      <c r="J13" s="5" t="s">
        <v>171</v>
      </c>
      <c r="K13" s="5"/>
      <c r="L13" s="2"/>
    </row>
    <row r="14" spans="1:12" ht="15" customHeight="1">
      <c r="A14" s="5" t="s">
        <v>181</v>
      </c>
      <c r="B14" s="8">
        <v>46218</v>
      </c>
      <c r="C14" s="16">
        <v>0.9375</v>
      </c>
      <c r="D14" s="5" t="s">
        <v>55</v>
      </c>
      <c r="E14" s="5" t="s">
        <v>56</v>
      </c>
      <c r="F14" s="5" t="s">
        <v>168</v>
      </c>
      <c r="G14" s="7">
        <v>7</v>
      </c>
      <c r="H14" s="5" t="s">
        <v>182</v>
      </c>
      <c r="I14" s="5" t="s">
        <v>170</v>
      </c>
      <c r="J14" s="5" t="s">
        <v>175</v>
      </c>
      <c r="K14" s="5"/>
      <c r="L14" s="2"/>
    </row>
    <row r="15" spans="1:12" ht="15" customHeight="1">
      <c r="A15" s="5" t="s">
        <v>183</v>
      </c>
      <c r="B15" s="8">
        <v>46219</v>
      </c>
      <c r="C15" s="16">
        <v>0.95833333333333304</v>
      </c>
      <c r="D15" s="5" t="s">
        <v>58</v>
      </c>
      <c r="E15" s="5" t="s">
        <v>59</v>
      </c>
      <c r="F15" s="5" t="s">
        <v>163</v>
      </c>
      <c r="G15" s="7">
        <v>8</v>
      </c>
      <c r="H15" s="5" t="s">
        <v>184</v>
      </c>
      <c r="I15" s="5" t="s">
        <v>174</v>
      </c>
      <c r="J15" s="5" t="s">
        <v>166</v>
      </c>
      <c r="K15" s="5"/>
      <c r="L15" s="2"/>
    </row>
    <row r="16" spans="1:12" ht="15" customHeight="1">
      <c r="A16" s="9" t="s">
        <v>185</v>
      </c>
      <c r="B16" s="14">
        <v>46219</v>
      </c>
      <c r="C16" s="17"/>
      <c r="D16" s="9" t="s">
        <v>61</v>
      </c>
      <c r="E16" s="9" t="s">
        <v>62</v>
      </c>
      <c r="F16" s="9" t="s">
        <v>168</v>
      </c>
      <c r="G16" s="13">
        <v>2</v>
      </c>
      <c r="H16" s="9" t="s">
        <v>186</v>
      </c>
      <c r="I16" s="9" t="s">
        <v>178</v>
      </c>
      <c r="J16" s="9" t="s">
        <v>171</v>
      </c>
      <c r="K16" s="9" t="s">
        <v>326</v>
      </c>
      <c r="L16" s="2"/>
    </row>
    <row r="17" spans="1:12" ht="15" customHeight="1">
      <c r="A17" s="5" t="s">
        <v>187</v>
      </c>
      <c r="B17" s="8">
        <v>46219</v>
      </c>
      <c r="C17" s="16">
        <v>0.70833333333333304</v>
      </c>
      <c r="D17" s="5" t="s">
        <v>64</v>
      </c>
      <c r="E17" s="5" t="s">
        <v>65</v>
      </c>
      <c r="F17" s="5" t="s">
        <v>168</v>
      </c>
      <c r="G17" s="7">
        <v>3</v>
      </c>
      <c r="H17" s="5" t="s">
        <v>188</v>
      </c>
      <c r="I17" s="5" t="s">
        <v>165</v>
      </c>
      <c r="J17" s="5" t="s">
        <v>175</v>
      </c>
      <c r="K17" s="5"/>
      <c r="L17" s="2"/>
    </row>
    <row r="18" spans="1:12" ht="15" customHeight="1">
      <c r="A18" s="5" t="s">
        <v>189</v>
      </c>
      <c r="B18" s="8">
        <v>46220</v>
      </c>
      <c r="C18" s="16">
        <v>0.77083333333333304</v>
      </c>
      <c r="D18" s="5" t="s">
        <v>68</v>
      </c>
      <c r="E18" s="5" t="s">
        <v>69</v>
      </c>
      <c r="F18" s="5" t="s">
        <v>163</v>
      </c>
      <c r="G18" s="7">
        <v>4</v>
      </c>
      <c r="H18" s="5" t="s">
        <v>190</v>
      </c>
      <c r="I18" s="5" t="s">
        <v>170</v>
      </c>
      <c r="J18" s="5" t="s">
        <v>166</v>
      </c>
      <c r="K18" s="5"/>
      <c r="L18" s="2"/>
    </row>
    <row r="19" spans="1:12" ht="15" customHeight="1">
      <c r="A19" s="5" t="s">
        <v>191</v>
      </c>
      <c r="B19" s="8">
        <v>46220</v>
      </c>
      <c r="C19" s="16">
        <v>0.79166666666666696</v>
      </c>
      <c r="D19" s="5" t="s">
        <v>72</v>
      </c>
      <c r="E19" s="5" t="s">
        <v>73</v>
      </c>
      <c r="F19" s="5" t="s">
        <v>168</v>
      </c>
      <c r="G19" s="7">
        <v>5</v>
      </c>
      <c r="H19" s="5" t="s">
        <v>192</v>
      </c>
      <c r="I19" s="5" t="s">
        <v>174</v>
      </c>
      <c r="J19" s="5" t="s">
        <v>171</v>
      </c>
      <c r="K19" s="5"/>
      <c r="L19" s="2"/>
    </row>
    <row r="20" spans="1:12" ht="15" customHeight="1">
      <c r="A20" s="5" t="s">
        <v>193</v>
      </c>
      <c r="B20" s="8">
        <v>46220</v>
      </c>
      <c r="C20" s="16">
        <v>0.85416666666666696</v>
      </c>
      <c r="D20" s="5" t="s">
        <v>74</v>
      </c>
      <c r="E20" s="5" t="s">
        <v>75</v>
      </c>
      <c r="F20" s="5" t="s">
        <v>168</v>
      </c>
      <c r="G20" s="7">
        <v>6</v>
      </c>
      <c r="H20" s="5" t="s">
        <v>194</v>
      </c>
      <c r="I20" s="5" t="s">
        <v>178</v>
      </c>
      <c r="J20" s="5" t="s">
        <v>175</v>
      </c>
      <c r="K20" s="5"/>
      <c r="L20" s="2"/>
    </row>
    <row r="21" spans="1:12" ht="15" customHeight="1">
      <c r="A21" s="9" t="s">
        <v>195</v>
      </c>
      <c r="B21" s="14" t="s">
        <v>327</v>
      </c>
      <c r="C21" s="18">
        <v>0.875</v>
      </c>
      <c r="D21" s="9" t="s">
        <v>76</v>
      </c>
      <c r="E21" s="9" t="s">
        <v>77</v>
      </c>
      <c r="F21" s="9" t="s">
        <v>163</v>
      </c>
      <c r="G21" s="13">
        <v>7</v>
      </c>
      <c r="H21" s="9" t="s">
        <v>196</v>
      </c>
      <c r="I21" s="9" t="s">
        <v>165</v>
      </c>
      <c r="J21" s="9" t="s">
        <v>166</v>
      </c>
      <c r="K21" s="9" t="s">
        <v>328</v>
      </c>
      <c r="L21" s="2"/>
    </row>
    <row r="22" spans="1:12" ht="15" customHeight="1">
      <c r="A22" s="5" t="s">
        <v>197</v>
      </c>
      <c r="B22" s="8">
        <v>46221</v>
      </c>
      <c r="C22" s="16">
        <v>0.9375</v>
      </c>
      <c r="D22" s="5" t="s">
        <v>79</v>
      </c>
      <c r="E22" s="5" t="s">
        <v>80</v>
      </c>
      <c r="F22" s="5" t="s">
        <v>168</v>
      </c>
      <c r="G22" s="7">
        <v>8</v>
      </c>
      <c r="H22" s="5" t="s">
        <v>198</v>
      </c>
      <c r="I22" s="5" t="s">
        <v>170</v>
      </c>
      <c r="J22" s="5" t="s">
        <v>171</v>
      </c>
      <c r="K22" s="5"/>
      <c r="L22" s="2"/>
    </row>
    <row r="23" spans="1:12" ht="15" customHeight="1">
      <c r="A23" s="5" t="s">
        <v>199</v>
      </c>
      <c r="B23" s="8">
        <v>46221</v>
      </c>
      <c r="C23" s="16">
        <v>0.95833333333333304</v>
      </c>
      <c r="D23" s="5" t="s">
        <v>82</v>
      </c>
      <c r="E23" s="5" t="s">
        <v>83</v>
      </c>
      <c r="F23" s="5" t="s">
        <v>168</v>
      </c>
      <c r="G23" s="7">
        <v>2</v>
      </c>
      <c r="H23" s="5" t="s">
        <v>200</v>
      </c>
      <c r="I23" s="5" t="s">
        <v>174</v>
      </c>
      <c r="J23" s="5" t="s">
        <v>175</v>
      </c>
      <c r="K23" s="5"/>
      <c r="L23" s="2"/>
    </row>
    <row r="24" spans="1:12" ht="15" customHeight="1">
      <c r="A24" s="5" t="s">
        <v>201</v>
      </c>
      <c r="B24" s="8">
        <v>46222</v>
      </c>
      <c r="C24" s="16">
        <v>1.0208333333333299</v>
      </c>
      <c r="D24" s="5" t="s">
        <v>84</v>
      </c>
      <c r="E24" s="5" t="s">
        <v>85</v>
      </c>
      <c r="F24" s="5" t="s">
        <v>163</v>
      </c>
      <c r="G24" s="7">
        <v>3</v>
      </c>
      <c r="H24" s="5" t="s">
        <v>202</v>
      </c>
      <c r="I24" s="5" t="s">
        <v>178</v>
      </c>
      <c r="J24" s="5" t="s">
        <v>166</v>
      </c>
      <c r="K24" s="5"/>
      <c r="L24" s="2"/>
    </row>
    <row r="25" spans="1:12" ht="15" customHeight="1">
      <c r="A25" s="5" t="s">
        <v>203</v>
      </c>
      <c r="B25" s="8">
        <v>46222</v>
      </c>
      <c r="C25" s="16">
        <v>0.70833333333333304</v>
      </c>
      <c r="D25" s="5" t="s">
        <v>88</v>
      </c>
      <c r="E25" s="5" t="s">
        <v>89</v>
      </c>
      <c r="F25" s="5" t="s">
        <v>168</v>
      </c>
      <c r="G25" s="7">
        <v>4</v>
      </c>
      <c r="H25" s="5" t="s">
        <v>204</v>
      </c>
      <c r="I25" s="5" t="s">
        <v>165</v>
      </c>
      <c r="J25" s="5" t="s">
        <v>171</v>
      </c>
      <c r="K25" s="5"/>
      <c r="L25" s="2"/>
    </row>
    <row r="26" spans="1:12" ht="15" customHeight="1">
      <c r="A26" s="5" t="s">
        <v>205</v>
      </c>
      <c r="B26" s="8">
        <v>46222</v>
      </c>
      <c r="C26" s="16">
        <v>0.77083333333333304</v>
      </c>
      <c r="D26" s="5" t="s">
        <v>90</v>
      </c>
      <c r="E26" s="5" t="s">
        <v>91</v>
      </c>
      <c r="F26" s="5" t="s">
        <v>168</v>
      </c>
      <c r="G26" s="7">
        <v>5</v>
      </c>
      <c r="H26" s="5" t="s">
        <v>206</v>
      </c>
      <c r="I26" s="5" t="s">
        <v>170</v>
      </c>
      <c r="J26" s="5" t="s">
        <v>175</v>
      </c>
      <c r="K26" s="5"/>
      <c r="L26" s="2"/>
    </row>
    <row r="27" spans="1:12" ht="15" customHeight="1">
      <c r="A27" s="9" t="s">
        <v>207</v>
      </c>
      <c r="B27" s="14">
        <v>46223</v>
      </c>
      <c r="C27" s="18">
        <v>0.79166666666666696</v>
      </c>
      <c r="D27" s="9" t="s">
        <v>329</v>
      </c>
      <c r="E27" s="9" t="s">
        <v>93</v>
      </c>
      <c r="F27" s="9" t="s">
        <v>163</v>
      </c>
      <c r="G27" s="13">
        <v>6</v>
      </c>
      <c r="H27" s="9" t="s">
        <v>208</v>
      </c>
      <c r="I27" s="9" t="s">
        <v>174</v>
      </c>
      <c r="J27" s="9" t="s">
        <v>166</v>
      </c>
      <c r="K27" s="9" t="s">
        <v>330</v>
      </c>
      <c r="L27" s="2"/>
    </row>
    <row r="28" spans="1:12" ht="15" customHeight="1">
      <c r="A28" s="5" t="s">
        <v>209</v>
      </c>
      <c r="B28" s="8">
        <v>46223</v>
      </c>
      <c r="C28" s="16">
        <v>0.85416666666666696</v>
      </c>
      <c r="D28" s="5" t="s">
        <v>94</v>
      </c>
      <c r="E28" s="5" t="s">
        <v>95</v>
      </c>
      <c r="F28" s="5" t="s">
        <v>168</v>
      </c>
      <c r="G28" s="7">
        <v>7</v>
      </c>
      <c r="H28" s="5" t="s">
        <v>210</v>
      </c>
      <c r="I28" s="5" t="s">
        <v>178</v>
      </c>
      <c r="J28" s="5" t="s">
        <v>171</v>
      </c>
      <c r="K28" s="5"/>
      <c r="L28" s="2"/>
    </row>
    <row r="29" spans="1:12" ht="15" customHeight="1">
      <c r="A29" s="5" t="s">
        <v>211</v>
      </c>
      <c r="B29" s="8">
        <v>46223</v>
      </c>
      <c r="C29" s="16">
        <v>0.875</v>
      </c>
      <c r="D29" s="5" t="s">
        <v>97</v>
      </c>
      <c r="E29" s="5" t="s">
        <v>98</v>
      </c>
      <c r="F29" s="5" t="s">
        <v>168</v>
      </c>
      <c r="G29" s="7">
        <v>8</v>
      </c>
      <c r="H29" s="5" t="s">
        <v>212</v>
      </c>
      <c r="I29" s="5" t="s">
        <v>165</v>
      </c>
      <c r="J29" s="5" t="s">
        <v>175</v>
      </c>
      <c r="K29" s="5"/>
      <c r="L29" s="2"/>
    </row>
    <row r="30" spans="1:12" ht="15" customHeight="1">
      <c r="A30" s="5" t="s">
        <v>213</v>
      </c>
      <c r="B30" s="8">
        <v>46224</v>
      </c>
      <c r="C30" s="16">
        <v>0.9375</v>
      </c>
      <c r="D30" s="5" t="s">
        <v>100</v>
      </c>
      <c r="E30" s="5" t="s">
        <v>101</v>
      </c>
      <c r="F30" s="5" t="s">
        <v>163</v>
      </c>
      <c r="G30" s="7">
        <v>2</v>
      </c>
      <c r="H30" s="5" t="s">
        <v>214</v>
      </c>
      <c r="I30" s="5" t="s">
        <v>170</v>
      </c>
      <c r="J30" s="5" t="s">
        <v>166</v>
      </c>
      <c r="K30" s="5"/>
      <c r="L30" s="2"/>
    </row>
    <row r="31" spans="1:12" ht="15" customHeight="1">
      <c r="A31" s="5" t="s">
        <v>215</v>
      </c>
      <c r="B31" s="8">
        <v>46224</v>
      </c>
      <c r="C31" s="16">
        <v>0.95833333333333304</v>
      </c>
      <c r="D31" s="5" t="s">
        <v>102</v>
      </c>
      <c r="E31" s="5" t="s">
        <v>103</v>
      </c>
      <c r="F31" s="5" t="s">
        <v>168</v>
      </c>
      <c r="G31" s="7">
        <v>3</v>
      </c>
      <c r="H31" s="5" t="s">
        <v>216</v>
      </c>
      <c r="I31" s="5" t="s">
        <v>174</v>
      </c>
      <c r="J31" s="5" t="s">
        <v>171</v>
      </c>
      <c r="K31" s="5"/>
      <c r="L31" s="2"/>
    </row>
    <row r="32" spans="1:12" ht="15" customHeight="1">
      <c r="A32" s="9" t="s">
        <v>215</v>
      </c>
      <c r="B32" s="14">
        <v>46224</v>
      </c>
      <c r="C32" s="18">
        <v>0.95833333333333304</v>
      </c>
      <c r="D32" s="9" t="s">
        <v>102</v>
      </c>
      <c r="E32" s="9" t="s">
        <v>103</v>
      </c>
      <c r="F32" s="9" t="s">
        <v>168</v>
      </c>
      <c r="G32" s="13">
        <v>3</v>
      </c>
      <c r="H32" s="9" t="s">
        <v>216</v>
      </c>
      <c r="I32" s="9" t="s">
        <v>174</v>
      </c>
      <c r="J32" s="9" t="s">
        <v>171</v>
      </c>
      <c r="K32" s="9" t="s">
        <v>331</v>
      </c>
      <c r="L32" s="2"/>
    </row>
    <row r="33" spans="1:12" ht="15" customHeight="1">
      <c r="A33" s="5" t="s">
        <v>219</v>
      </c>
      <c r="B33" s="8">
        <v>46225</v>
      </c>
      <c r="C33" s="16">
        <v>0.70833333333333304</v>
      </c>
      <c r="D33" s="5" t="s">
        <v>106</v>
      </c>
      <c r="E33" s="5" t="s">
        <v>107</v>
      </c>
      <c r="F33" s="5" t="s">
        <v>163</v>
      </c>
      <c r="G33" s="7">
        <v>5</v>
      </c>
      <c r="H33" s="5" t="s">
        <v>220</v>
      </c>
      <c r="I33" s="5" t="s">
        <v>165</v>
      </c>
      <c r="J33" s="5" t="s">
        <v>166</v>
      </c>
      <c r="K33" s="5"/>
      <c r="L33" s="2"/>
    </row>
    <row r="34" spans="1:12" ht="15" customHeight="1">
      <c r="A34" s="5" t="s">
        <v>221</v>
      </c>
      <c r="B34" s="8">
        <v>46225</v>
      </c>
      <c r="C34" s="16">
        <v>0.77083333333333304</v>
      </c>
      <c r="D34" s="5" t="s">
        <v>108</v>
      </c>
      <c r="E34" s="5" t="s">
        <v>109</v>
      </c>
      <c r="F34" s="5" t="s">
        <v>168</v>
      </c>
      <c r="G34" s="7">
        <v>6</v>
      </c>
      <c r="H34" s="5" t="s">
        <v>222</v>
      </c>
      <c r="I34" s="5" t="s">
        <v>170</v>
      </c>
      <c r="J34" s="5" t="s">
        <v>171</v>
      </c>
      <c r="K34" s="5"/>
      <c r="L34" s="2"/>
    </row>
    <row r="35" spans="1:12" ht="15" customHeight="1">
      <c r="A35" s="5" t="s">
        <v>223</v>
      </c>
      <c r="B35" s="8">
        <v>46225</v>
      </c>
      <c r="C35" s="16">
        <v>0.79166666666666696</v>
      </c>
      <c r="D35" s="5" t="s">
        <v>110</v>
      </c>
      <c r="E35" s="5" t="s">
        <v>111</v>
      </c>
      <c r="F35" s="5" t="s">
        <v>168</v>
      </c>
      <c r="G35" s="7">
        <v>7</v>
      </c>
      <c r="H35" s="5" t="s">
        <v>224</v>
      </c>
      <c r="I35" s="5" t="s">
        <v>174</v>
      </c>
      <c r="J35" s="5" t="s">
        <v>175</v>
      </c>
      <c r="K35" s="5"/>
      <c r="L35" s="2"/>
    </row>
    <row r="36" spans="1:12" ht="15" customHeight="1">
      <c r="A36" s="9" t="s">
        <v>225</v>
      </c>
      <c r="B36" s="14">
        <v>46226</v>
      </c>
      <c r="C36" s="18">
        <v>0.85416666666666696</v>
      </c>
      <c r="D36" s="9" t="s">
        <v>112</v>
      </c>
      <c r="E36" s="9" t="s">
        <v>113</v>
      </c>
      <c r="F36" s="9" t="s">
        <v>163</v>
      </c>
      <c r="G36" s="21"/>
      <c r="H36" s="9" t="s">
        <v>226</v>
      </c>
      <c r="I36" s="9" t="s">
        <v>178</v>
      </c>
      <c r="J36" s="9" t="s">
        <v>166</v>
      </c>
      <c r="K36" s="9" t="s">
        <v>332</v>
      </c>
      <c r="L36" s="2"/>
    </row>
    <row r="37" spans="1:12" ht="15" customHeight="1">
      <c r="A37" s="5" t="s">
        <v>227</v>
      </c>
      <c r="B37" s="8">
        <v>46226</v>
      </c>
      <c r="C37" s="16">
        <v>0.875</v>
      </c>
      <c r="D37" s="5" t="s">
        <v>115</v>
      </c>
      <c r="E37" s="5" t="s">
        <v>116</v>
      </c>
      <c r="F37" s="5" t="s">
        <v>168</v>
      </c>
      <c r="G37" s="7">
        <v>2</v>
      </c>
      <c r="H37" s="5" t="s">
        <v>228</v>
      </c>
      <c r="I37" s="5" t="s">
        <v>165</v>
      </c>
      <c r="J37" s="5" t="s">
        <v>171</v>
      </c>
      <c r="K37" s="5"/>
      <c r="L37" s="2"/>
    </row>
    <row r="38" spans="1:12" ht="15" customHeight="1">
      <c r="A38" s="5" t="s">
        <v>229</v>
      </c>
      <c r="B38" s="8">
        <v>46226</v>
      </c>
      <c r="C38" s="16">
        <v>0.9375</v>
      </c>
      <c r="D38" s="5" t="s">
        <v>40</v>
      </c>
      <c r="E38" s="5" t="s">
        <v>41</v>
      </c>
      <c r="F38" s="5" t="s">
        <v>168</v>
      </c>
      <c r="G38" s="7">
        <v>3</v>
      </c>
      <c r="H38" s="5" t="s">
        <v>230</v>
      </c>
      <c r="I38" s="5" t="s">
        <v>170</v>
      </c>
      <c r="J38" s="5" t="s">
        <v>175</v>
      </c>
      <c r="K38" s="5"/>
      <c r="L38" s="2"/>
    </row>
    <row r="39" spans="1:12" ht="15" customHeight="1">
      <c r="A39" s="2" t="s">
        <v>217</v>
      </c>
      <c r="B39" s="26">
        <v>46225</v>
      </c>
      <c r="C39" s="27">
        <v>2.0833333333333301E-2</v>
      </c>
      <c r="D39" s="2" t="s">
        <v>104</v>
      </c>
      <c r="E39" s="2" t="s">
        <v>105</v>
      </c>
      <c r="F39" s="2" t="s">
        <v>168</v>
      </c>
      <c r="G39" s="2">
        <v>4</v>
      </c>
      <c r="H39" s="2" t="s">
        <v>218</v>
      </c>
      <c r="I39" s="2" t="s">
        <v>178</v>
      </c>
      <c r="J39" s="2" t="s">
        <v>175</v>
      </c>
      <c r="K39" s="2" t="s">
        <v>333</v>
      </c>
      <c r="L39" s="2"/>
    </row>
    <row r="40" spans="1:12" ht="25.5" customHeight="1">
      <c r="A40" s="46" t="s">
        <v>231</v>
      </c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2"/>
    </row>
    <row r="41" spans="1:12" ht="25.5" customHeight="1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2"/>
    </row>
    <row r="42" spans="1:12" ht="15" customHeight="1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2"/>
    </row>
    <row r="43" spans="1:12" ht="1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 ht="1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 ht="1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2" ht="1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12" ht="1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12" ht="1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spans="1:12" ht="1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spans="1:12" ht="1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1:12" ht="1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1:12" ht="1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1:12" ht="1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1:12" ht="1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1:12" ht="1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1:12" ht="1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spans="1:12" ht="1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spans="1:12" ht="1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spans="1:12" ht="1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spans="1:12" ht="1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spans="1:12" ht="1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spans="1:12" ht="1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spans="1:12" ht="1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spans="1:12" ht="1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spans="1:12" ht="1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spans="1:12" ht="1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 spans="1:12" ht="1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spans="1:12" ht="1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spans="1:12" ht="1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spans="1:12" ht="1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spans="1:12" ht="1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spans="1:12" ht="1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 spans="1:12" ht="1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 spans="1:12" ht="1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 spans="1:12" ht="1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 spans="1:12" ht="1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spans="1:12" ht="1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spans="1:12" ht="1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 spans="1:12" ht="1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spans="1:12" ht="1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</sheetData>
  <mergeCells count="4">
    <mergeCell ref="A1:K2"/>
    <mergeCell ref="A3:K3"/>
    <mergeCell ref="A5:K6"/>
    <mergeCell ref="A40:K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7</vt:i4>
      </vt:variant>
    </vt:vector>
  </HeadingPairs>
  <TitlesOfParts>
    <vt:vector size="7" baseType="lpstr">
      <vt:lpstr>INSTRUÇÕES</vt:lpstr>
      <vt:lpstr>PRODUTOS</vt:lpstr>
      <vt:lpstr>FORNECEDORES</vt:lpstr>
      <vt:lpstr>MOVIMENTOS</vt:lpstr>
      <vt:lpstr>SÉRIES</vt:lpstr>
      <vt:lpstr>VERIFICAÇÃO</vt:lpstr>
      <vt:lpstr>MODELO_MOVIMENTOS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Cerejo Lopes</cp:lastModifiedBy>
  <dcterms:modified xsi:type="dcterms:W3CDTF">2026-09-02T18:42:44Z</dcterms:modified>
</cp:coreProperties>
</file>