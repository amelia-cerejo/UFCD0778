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B5EAC3E1-9F54-4177-9189-598A0BC3B498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Referências" sheetId="6" r:id="rId1"/>
    <sheet name="Intervalos" sheetId="5" r:id="rId2"/>
    <sheet name="Gestão de Nomes" sheetId="4" r:id="rId3"/>
    <sheet name="Operadores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lunos">#REF!</definedName>
    <definedName name="Avalia">#REF!</definedName>
    <definedName name="Avaliacao">'[1]Nome de Blocos'!$B$4:$D$10</definedName>
    <definedName name="AvalQuali">#REF!</definedName>
    <definedName name="AvalQuant">#REF!</definedName>
    <definedName name="Bananas">[2]!tbl_VariedadeDeFruta6[Bananas]</definedName>
    <definedName name="base_dados">#REF!</definedName>
    <definedName name="CONDIÇÕES">'[3]NOTAS ( BASE DE DADOS )'!$B$26:$J$27</definedName>
    <definedName name="CP">[4]BaseFact!$D$2:$D$65536</definedName>
    <definedName name="d">#REF!</definedName>
    <definedName name="dados_do_operário">#REF!</definedName>
    <definedName name="Divisao" comment="Valor de divisao da média ponderada">#REF!</definedName>
    <definedName name="Envio">1.25</definedName>
    <definedName name="Exame">'[1]Nome de Blocos'!$D$4:$D$10</definedName>
    <definedName name="f">'[5]Exercício 14 - Ordenados'!$E$9:$F$13</definedName>
    <definedName name="g">#REF!</definedName>
    <definedName name="gp">#REF!</definedName>
    <definedName name="grp_ChavetaGuia">"shp_BraceBottom,txt_WalkMeBrace,shp_BraceLeft"</definedName>
    <definedName name="grp_SetasGuia">"shp_ArrowCurved,txt_WalkMeArrows,shp_ArrowStraight"</definedName>
    <definedName name="ImpostoSobreVendas">0.0825</definedName>
    <definedName name="iva">[3]MÉDIAS!$I$9</definedName>
    <definedName name="Laranjas">[2]!tbl_VariedadeDeFruta4[Laranjas]</definedName>
    <definedName name="Limões">[2]!tbl_VariedadeDeFruta5[Limões]</definedName>
    <definedName name="LISTAGEM">'[3]NOTAS ( BASE DE DADOS )'!$B$33:$J$43</definedName>
    <definedName name="Local">[4]BaseFact!$E$2:$E$65536</definedName>
    <definedName name="lst_Fruta">[2]!tbl_Fruta[Fruta]</definedName>
    <definedName name="lst_VariedadeDeFruta">[2]!tbl_VariedadeDeFruta[Maçãs]</definedName>
    <definedName name="Maçãs">[2]!tbl_VariedadeDeFruta[Maçãs]</definedName>
    <definedName name="MARGEM">#REF!</definedName>
    <definedName name="media">#REF!</definedName>
    <definedName name="Morada">[4]BaseFact!$C$2:$C$65536</definedName>
    <definedName name="N__Avião">#REF!</definedName>
    <definedName name="Ncli">[4]BaseFact!$A$2:$A$65536</definedName>
    <definedName name="Nif">[4]BaseFact!$F$2:$F$65536</definedName>
    <definedName name="Número_do_Avião">#REF!</definedName>
    <definedName name="Pesos_Avalia">'[1]Nome de Blocos'!$B$2:$D$2</definedName>
    <definedName name="ponderar" comment="Valor de ponderção do exame">#REF!</definedName>
    <definedName name="regiões">#REF!</definedName>
    <definedName name="sd" localSheetId="0" hidden="1">{#N/A,"a",TRUE,"Cenários";#N/A,"b",TRUE,"Cenários"}</definedName>
    <definedName name="sd" hidden="1">{#N/A,"a",TRUE,"Cenários";#N/A,"b",TRUE,"Cenários"}</definedName>
    <definedName name="sdfs" localSheetId="0" hidden="1">{"vista2",#N/A,FALSE,"Tabela Pivot";#N/A,#N/A,FALSE,"Classificação"}</definedName>
    <definedName name="sdfs" hidden="1">{"vista2",#N/A,FALSE,"Tabela Pivot";#N/A,#N/A,FALSE,"Classificação"}</definedName>
    <definedName name="semestre1" comment="Notas do 1º Semestre">#REF!</definedName>
    <definedName name="Semestre2">#REF!</definedName>
    <definedName name="TABELA_DE_CODIGOS">#REF!</definedName>
    <definedName name="tabela_de_comissões">#REF!</definedName>
    <definedName name="TABELA_DE_PESQUISA">#REF!</definedName>
    <definedName name="TABELA_DE_PREÇOS">#REF!</definedName>
    <definedName name="Total_Pesos">'[1]Nome de Blocos'!$E$2</definedName>
    <definedName name="vu">#REF!</definedName>
    <definedName name="wrn.análise._.de._.empréstimo." localSheetId="0" hidden="1">{#N/A,"a",TRUE,"Cenários";#N/A,"b",TRUE,"Cenários"}</definedName>
    <definedName name="wrn.análise._.de._.empréstimo." hidden="1">{#N/A,"a",TRUE,"Cenários";#N/A,"b",TRUE,"Cenários"}</definedName>
    <definedName name="wrn.r2." localSheetId="0" hidden="1">{"vista2",#N/A,FALSE,"Tabela Pivot";#N/A,#N/A,FALSE,"Classificação"}</definedName>
    <definedName name="wrn.r2." hidden="1">{"vista2",#N/A,FALSE,"Tabela Pivot";#N/A,#N/A,FALSE,"Classificação"}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M5" i="6"/>
  <c r="J28" i="6"/>
  <c r="J29" i="6"/>
  <c r="K13" i="5"/>
  <c r="O12" i="5"/>
  <c r="K12" i="5"/>
  <c r="O11" i="5"/>
  <c r="K11" i="5"/>
  <c r="O10" i="5"/>
  <c r="K10" i="5"/>
  <c r="E20" i="4"/>
  <c r="E19" i="4"/>
  <c r="E25" i="3"/>
  <c r="F25" i="3" s="1"/>
  <c r="E24" i="3"/>
  <c r="F24" i="3" s="1"/>
  <c r="F23" i="3"/>
  <c r="E23" i="3"/>
  <c r="F22" i="3"/>
  <c r="E22" i="3"/>
  <c r="E21" i="3"/>
  <c r="F21" i="3" s="1"/>
  <c r="O13" i="5" l="1"/>
</calcChain>
</file>

<file path=xl/sharedStrings.xml><?xml version="1.0" encoding="utf-8"?>
<sst xmlns="http://schemas.openxmlformats.org/spreadsheetml/2006/main" count="208" uniqueCount="170">
  <si>
    <t>+</t>
  </si>
  <si>
    <t>=1+1</t>
  </si>
  <si>
    <t>ou</t>
  </si>
  <si>
    <t>=C4+E4</t>
  </si>
  <si>
    <t>=</t>
  </si>
  <si>
    <t>Referencia</t>
  </si>
  <si>
    <t>&lt;=&gt;</t>
  </si>
  <si>
    <t>endereço da célula</t>
  </si>
  <si>
    <t>Referência de uma Célula:</t>
  </si>
  <si>
    <t>Indica ao Excel onde localizar os valores ou dados a serem utilizados.</t>
  </si>
  <si>
    <t>👇</t>
  </si>
  <si>
    <t>Se o valor na célula referenciada muda, todas as fórmulas que dependem dessa célula (referência) são automaticamente atualizadas.</t>
  </si>
  <si>
    <t>Coluna</t>
  </si>
  <si>
    <t>Linha</t>
  </si>
  <si>
    <t>A</t>
  </si>
  <si>
    <t xml:space="preserve">📌 </t>
  </si>
  <si>
    <t>Apenas indica a posição da célula dentro da folha de cálculo.</t>
  </si>
  <si>
    <t>Informa o Excel que a célula contém uma fórmula e que deve obter o valor da célula A1.</t>
  </si>
  <si>
    <t>Se A1 for alterado, a célula que contém =A1 será automaticamente atualizada.</t>
  </si>
  <si>
    <t>A referência muda ao copiar a fórmula.</t>
  </si>
  <si>
    <t>A referência não muda ao copiar a fórmula.</t>
  </si>
  <si>
    <t>Operadores</t>
  </si>
  <si>
    <t>Os operadores indicam ao Excel que operação deve realizar numa fórmula.</t>
  </si>
  <si>
    <t>Operadores Matemáticos</t>
  </si>
  <si>
    <t>Operadores Lógicos / de Comparação</t>
  </si>
  <si>
    <t>Operador</t>
  </si>
  <si>
    <t>Operação</t>
  </si>
  <si>
    <t>Exemplo</t>
  </si>
  <si>
    <t>Resultado</t>
  </si>
  <si>
    <t>Significado</t>
  </si>
  <si>
    <t>Adição</t>
  </si>
  <si>
    <t>=10+5</t>
  </si>
  <si>
    <t>Igual a</t>
  </si>
  <si>
    <t>=10=5</t>
  </si>
  <si>
    <t>FALSO</t>
  </si>
  <si>
    <t>-</t>
  </si>
  <si>
    <t>Subtração</t>
  </si>
  <si>
    <t>=10-5</t>
  </si>
  <si>
    <t>&gt;</t>
  </si>
  <si>
    <t>Maior que</t>
  </si>
  <si>
    <t>=10&gt;5</t>
  </si>
  <si>
    <t>VERDADEIRO</t>
  </si>
  <si>
    <t>*</t>
  </si>
  <si>
    <t>Multiplicação</t>
  </si>
  <si>
    <t>=10*5</t>
  </si>
  <si>
    <t>&lt;</t>
  </si>
  <si>
    <t>Menor que</t>
  </si>
  <si>
    <t>=10&lt;5</t>
  </si>
  <si>
    <t>/</t>
  </si>
  <si>
    <t>Divisão</t>
  </si>
  <si>
    <t>=10/5</t>
  </si>
  <si>
    <t>&gt;=</t>
  </si>
  <si>
    <t>Maior ou igual a</t>
  </si>
  <si>
    <t>=10&gt;=10</t>
  </si>
  <si>
    <t>^</t>
  </si>
  <si>
    <t>Potenciação</t>
  </si>
  <si>
    <t>=10^2</t>
  </si>
  <si>
    <t>&lt;=</t>
  </si>
  <si>
    <t>Menor ou igual a</t>
  </si>
  <si>
    <t>=5&lt;=10</t>
  </si>
  <si>
    <t>%</t>
  </si>
  <si>
    <t>Percentagem</t>
  </si>
  <si>
    <t>=200*10%</t>
  </si>
  <si>
    <t>&lt;&gt;</t>
  </si>
  <si>
    <t>Diferente de</t>
  </si>
  <si>
    <t>=10&lt;&gt;5</t>
  </si>
  <si>
    <t>Experimentar</t>
  </si>
  <si>
    <t>Valor 1</t>
  </si>
  <si>
    <t>Valor 2</t>
  </si>
  <si>
    <t>Cálculo</t>
  </si>
  <si>
    <t>Atenção à ordem das operações: parênteses → potenciação → multiplicação/divisão → adição/subtração.</t>
  </si>
  <si>
    <t>Gestão de Nomes</t>
  </si>
  <si>
    <t>Dar um nome a uma célula ou intervalo permite usar esse nome nas fórmulas, tornando-as mais fáceis de ler e compreender.</t>
  </si>
  <si>
    <t>Produto</t>
  </si>
  <si>
    <t>Valor</t>
  </si>
  <si>
    <t>1. Seleciona o intervalo C9:C13</t>
  </si>
  <si>
    <t>Caderno</t>
  </si>
  <si>
    <t>2. Na Caixa de Nome, escreve: Valores</t>
  </si>
  <si>
    <t>Caneta</t>
  </si>
  <si>
    <t>3. Pressiona Enter</t>
  </si>
  <si>
    <t>Pasta</t>
  </si>
  <si>
    <t>4. Experimenta escrever numa célula: =SOMA(Valores)</t>
  </si>
  <si>
    <t>Calculadora</t>
  </si>
  <si>
    <t>Mochila</t>
  </si>
  <si>
    <t>Sem nome</t>
  </si>
  <si>
    <t>Com nome</t>
  </si>
  <si>
    <t>Objetivo</t>
  </si>
  <si>
    <t>Fórmula</t>
  </si>
  <si>
    <t>Leitura</t>
  </si>
  <si>
    <t>Somar os valores</t>
  </si>
  <si>
    <t>=SOMA(C9:C13)</t>
  </si>
  <si>
    <t>Soma o intervalo C9:C13</t>
  </si>
  <si>
    <t>=SOMA(Valores)</t>
  </si>
  <si>
    <t>Soma o intervalo chamado Valores</t>
  </si>
  <si>
    <t>Após criar o nome</t>
  </si>
  <si>
    <t>Calcular a média</t>
  </si>
  <si>
    <t>=MÉDIA(C9:C13)</t>
  </si>
  <si>
    <t>Calcula a média do intervalo C9:C13</t>
  </si>
  <si>
    <t>=MÉDIA(Valores)</t>
  </si>
  <si>
    <t>Calcula a média do intervalo chamado Valores</t>
  </si>
  <si>
    <t>Regras para os nomes</t>
  </si>
  <si>
    <t>✔</t>
  </si>
  <si>
    <t>Devem começar por uma letra, sublinhado (_) ou barra invertida (\).</t>
  </si>
  <si>
    <t>Não podem conter espaços; usa, por exemplo, Total_Vendas.</t>
  </si>
  <si>
    <t>Devem ser claros e fáceis de identificar.</t>
  </si>
  <si>
    <t>✘</t>
  </si>
  <si>
    <t>Não podem ser iguais a uma referência de célula, como A1.</t>
  </si>
  <si>
    <t>💡</t>
  </si>
  <si>
    <t>Um bom nome ajuda a perceber a fórmula sem ter de decorar o intervalo.</t>
  </si>
  <si>
    <t>Desafio</t>
  </si>
  <si>
    <t>Cria um nome para o intervalo dos valores, usa-o numa fórmula de SOMA e noutra de MÉDIA e compara a leitura das fórmulas com e sem nomes.</t>
  </si>
  <si>
    <t>Intervalos</t>
  </si>
  <si>
    <t>Um intervalo é um conjunto de células. É identificado pela primeira e pela última célula, separadas por dois pontos (:).</t>
  </si>
  <si>
    <t>Como se representam os intervalos</t>
  </si>
  <si>
    <t>Tipo</t>
  </si>
  <si>
    <t>Intervalo</t>
  </si>
  <si>
    <t>O que representa</t>
  </si>
  <si>
    <t>Exemplo de utilização</t>
  </si>
  <si>
    <t>Vertical</t>
  </si>
  <si>
    <t>A2:A6</t>
  </si>
  <si>
    <t>Células da coluna A, da linha 2 à 6</t>
  </si>
  <si>
    <t>=SOMA(A2:A6)</t>
  </si>
  <si>
    <t>Horizontal</t>
  </si>
  <si>
    <t>B2:F2</t>
  </si>
  <si>
    <t>Células da linha 2, da coluna B à F</t>
  </si>
  <si>
    <t>=SOMA(B2:F2)</t>
  </si>
  <si>
    <t>Retangular</t>
  </si>
  <si>
    <t>B2:D5</t>
  </si>
  <si>
    <t>Todas as células entre B2 e D5</t>
  </si>
  <si>
    <t>=SOMA(B2:D5)</t>
  </si>
  <si>
    <t>Coluna inteira</t>
  </si>
  <si>
    <t>A:A</t>
  </si>
  <si>
    <t>Todas as células da coluna A</t>
  </si>
  <si>
    <t>=SOMA(A:A)</t>
  </si>
  <si>
    <t>Linha inteira</t>
  </si>
  <si>
    <t>2:2</t>
  </si>
  <si>
    <t>Todas as células da linha 2</t>
  </si>
  <si>
    <t>=SOMA(2:2)</t>
  </si>
  <si>
    <t>Uma célula</t>
  </si>
  <si>
    <t>C4</t>
  </si>
  <si>
    <t>Apenas a célula C4</t>
  </si>
  <si>
    <t>=C4</t>
  </si>
  <si>
    <t>Jan</t>
  </si>
  <si>
    <t>Fev</t>
  </si>
  <si>
    <t>Mar</t>
  </si>
  <si>
    <t>Total</t>
  </si>
  <si>
    <t>O que selecionar</t>
  </si>
  <si>
    <t>C21:E21</t>
  </si>
  <si>
    <t>Os três meses do Produto A</t>
  </si>
  <si>
    <t>B</t>
  </si>
  <si>
    <t>C21:C24</t>
  </si>
  <si>
    <t>Todos os valores de janeiro</t>
  </si>
  <si>
    <t>C</t>
  </si>
  <si>
    <t>C21:E24</t>
  </si>
  <si>
    <t>Todos os valores dos três meses</t>
  </si>
  <si>
    <t>D</t>
  </si>
  <si>
    <t>F21:F24</t>
  </si>
  <si>
    <t>Os totais dos quatro produtos</t>
  </si>
  <si>
    <t>Para selecionar um intervalo contíguo: clicar na primeira célula e arrastar até à última. Também pode clicar na primeira célula, manter Shift premido e clicar na última.</t>
  </si>
  <si>
    <t>Atenção: os dois pontos (:) significam «desde… até…». Assim, B2:D5 inclui B2, D5 e todas as células entre elas.</t>
  </si>
  <si>
    <r>
      <t>A$1</t>
    </r>
    <r>
      <rPr>
        <sz val="11"/>
        <color theme="1"/>
        <rFont val="Segoe UI Emoji"/>
        <family val="2"/>
      </rPr>
      <t xml:space="preserve"> → Fixa </t>
    </r>
    <r>
      <rPr>
        <b/>
        <sz val="11"/>
        <color theme="1"/>
        <rFont val="Segoe UI Emoji"/>
        <family val="2"/>
      </rPr>
      <t>a linha</t>
    </r>
    <r>
      <rPr>
        <sz val="11"/>
        <color theme="1"/>
        <rFont val="Segoe UI Emoji"/>
        <family val="2"/>
      </rPr>
      <t>, mas permite que a coluna mude ao copiar.</t>
    </r>
  </si>
  <si>
    <r>
      <t>$A1</t>
    </r>
    <r>
      <rPr>
        <sz val="11"/>
        <color theme="1"/>
        <rFont val="Segoe UI Emoji"/>
        <family val="2"/>
      </rPr>
      <t xml:space="preserve"> → Fixa </t>
    </r>
    <r>
      <rPr>
        <b/>
        <sz val="11"/>
        <color theme="1"/>
        <rFont val="Segoe UI Emoji"/>
        <family val="2"/>
      </rPr>
      <t>a coluna</t>
    </r>
    <r>
      <rPr>
        <sz val="11"/>
        <color theme="1"/>
        <rFont val="Segoe UI Emoji"/>
        <family val="2"/>
      </rPr>
      <t>, mas permite que a linha mude ao copiar.</t>
    </r>
  </si>
  <si>
    <r>
      <t xml:space="preserve">📌 </t>
    </r>
    <r>
      <rPr>
        <b/>
        <sz val="11"/>
        <color rgb="FFFFC000"/>
        <rFont val="Segoe UI Emoji"/>
        <family val="2"/>
      </rPr>
      <t>Mista (</t>
    </r>
    <r>
      <rPr>
        <b/>
        <sz val="10"/>
        <color rgb="FFFFC000"/>
        <rFont val="Segoe UI Emoji"/>
        <family val="2"/>
      </rPr>
      <t>$A1</t>
    </r>
    <r>
      <rPr>
        <b/>
        <sz val="11"/>
        <color rgb="FFFFC000"/>
        <rFont val="Segoe UI Emoji"/>
        <family val="2"/>
      </rPr>
      <t xml:space="preserve"> ou </t>
    </r>
    <r>
      <rPr>
        <b/>
        <sz val="10"/>
        <color rgb="FFFFC000"/>
        <rFont val="Segoe UI Emoji"/>
        <family val="2"/>
      </rPr>
      <t>A$1</t>
    </r>
    <r>
      <rPr>
        <b/>
        <sz val="11"/>
        <color rgb="FFFFC000"/>
        <rFont val="Segoe UI Emoji"/>
        <family val="2"/>
      </rPr>
      <t>)</t>
    </r>
  </si>
  <si>
    <r>
      <t xml:space="preserve">Exemplo: Se escrever </t>
    </r>
    <r>
      <rPr>
        <sz val="10"/>
        <color theme="1"/>
        <rFont val="Segoe UI Emoji"/>
        <family val="2"/>
      </rPr>
      <t>=$A$1</t>
    </r>
    <r>
      <rPr>
        <sz val="11"/>
        <color theme="1"/>
        <rFont val="Segoe UI Emoji"/>
        <family val="2"/>
      </rPr>
      <t xml:space="preserve"> e copiar para outras células, todas continuarão a referenciar A1.</t>
    </r>
  </si>
  <si>
    <r>
      <t xml:space="preserve">📌 </t>
    </r>
    <r>
      <rPr>
        <b/>
        <sz val="11"/>
        <color rgb="FF0070C0"/>
        <rFont val="Segoe UI Emoji"/>
        <family val="2"/>
      </rPr>
      <t>Absoluta (</t>
    </r>
    <r>
      <rPr>
        <b/>
        <sz val="10"/>
        <color rgb="FF0070C0"/>
        <rFont val="Segoe UI Emoji"/>
        <family val="2"/>
      </rPr>
      <t>$A$1</t>
    </r>
    <r>
      <rPr>
        <b/>
        <sz val="11"/>
        <color rgb="FF0070C0"/>
        <rFont val="Segoe UI Emoji"/>
        <family val="2"/>
      </rPr>
      <t>)</t>
    </r>
  </si>
  <si>
    <r>
      <t xml:space="preserve">Exemplo: Se escrever </t>
    </r>
    <r>
      <rPr>
        <sz val="10"/>
        <color theme="1"/>
        <rFont val="Segoe UI Emoji"/>
        <family val="2"/>
      </rPr>
      <t>=A1</t>
    </r>
    <r>
      <rPr>
        <sz val="11"/>
        <color theme="1"/>
        <rFont val="Segoe UI Emoji"/>
        <family val="2"/>
      </rPr>
      <t xml:space="preserve"> em B1 e copiar para B2, a fórmula mudará para </t>
    </r>
    <r>
      <rPr>
        <sz val="10"/>
        <color theme="1"/>
        <rFont val="Segoe UI Emoji"/>
        <family val="2"/>
      </rPr>
      <t>=A2</t>
    </r>
    <r>
      <rPr>
        <sz val="11"/>
        <color theme="1"/>
        <rFont val="Segoe UI Emoji"/>
        <family val="2"/>
      </rPr>
      <t>.</t>
    </r>
  </si>
  <si>
    <r>
      <t xml:space="preserve">📌 </t>
    </r>
    <r>
      <rPr>
        <b/>
        <sz val="11"/>
        <color rgb="FF217346"/>
        <rFont val="Segoe UI Emoji"/>
        <family val="2"/>
      </rPr>
      <t>Relativa (</t>
    </r>
    <r>
      <rPr>
        <b/>
        <sz val="10"/>
        <color rgb="FF217346"/>
        <rFont val="Segoe UI Emoji"/>
        <family val="2"/>
      </rPr>
      <t>A1</t>
    </r>
    <r>
      <rPr>
        <b/>
        <sz val="11"/>
        <color rgb="FF217346"/>
        <rFont val="Segoe UI Emoji"/>
        <family val="2"/>
      </rPr>
      <t>)</t>
    </r>
  </si>
  <si>
    <r>
      <t xml:space="preserve">Tipos de Referências com </t>
    </r>
    <r>
      <rPr>
        <b/>
        <sz val="10"/>
        <color theme="1"/>
        <rFont val="Segoe UI Emoji"/>
        <family val="2"/>
      </rPr>
      <t>$</t>
    </r>
  </si>
  <si>
    <r>
      <rPr>
        <b/>
        <sz val="11"/>
        <color theme="1"/>
        <rFont val="Segoe UI Emoji"/>
        <family val="2"/>
      </rPr>
      <t>=A1</t>
    </r>
    <r>
      <rPr>
        <sz val="11"/>
        <color theme="1"/>
        <rFont val="Segoe UI Emoji"/>
        <family val="2"/>
      </rPr>
      <t xml:space="preserve"> → </t>
    </r>
    <r>
      <rPr>
        <b/>
        <sz val="11"/>
        <color theme="1"/>
        <rFont val="Segoe UI Emoji"/>
        <family val="2"/>
      </rPr>
      <t>Referência Usada numa Fórmula</t>
    </r>
  </si>
  <si>
    <r>
      <rPr>
        <b/>
        <sz val="11"/>
        <color theme="1"/>
        <rFont val="Segoe UI Emoji"/>
        <family val="2"/>
      </rPr>
      <t>A1</t>
    </r>
    <r>
      <rPr>
        <sz val="11"/>
        <color theme="1"/>
        <rFont val="Segoe UI Emoji"/>
        <family val="2"/>
      </rPr>
      <t xml:space="preserve"> → </t>
    </r>
    <r>
      <rPr>
        <b/>
        <sz val="11"/>
        <color theme="1"/>
        <rFont val="Segoe UI Emoji"/>
        <family val="2"/>
      </rPr>
      <t>Endereço da Célula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</si>
</sst>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€&quot;"/>
  </numFmts>
  <fonts count="28">
    <font>
      <sz val="11"/>
      <color theme="1"/>
      <name val="Segoe UI Emoji"/>
    </font>
    <font>
      <sz val="11"/>
      <color theme="1"/>
      <name val="Segoe UI Emoji"/>
      <family val="2"/>
    </font>
    <font>
      <sz val="11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Aptos Narrow"/>
    </font>
    <font>
      <b/>
      <sz val="10"/>
      <color theme="1"/>
      <name val="Segoe UI Emoji"/>
      <family val="2"/>
    </font>
    <font>
      <sz val="11"/>
      <color rgb="FFFFC000"/>
      <name val="Segoe UI Emoji"/>
      <family val="2"/>
    </font>
    <font>
      <sz val="11"/>
      <color rgb="FF0070C0"/>
      <name val="Segoe UI Emoji"/>
      <family val="2"/>
    </font>
    <font>
      <sz val="11"/>
      <color rgb="FF217346"/>
      <name val="Segoe UI Emoji"/>
      <family val="2"/>
    </font>
    <font>
      <sz val="16"/>
      <color theme="5" tint="-0.249977111117893"/>
      <name val="Segoe UI Emoji"/>
      <family val="2"/>
    </font>
    <font>
      <sz val="16"/>
      <color theme="1"/>
      <name val="Segoe UI Emoji"/>
      <family val="2"/>
    </font>
    <font>
      <sz val="11"/>
      <color theme="9" tint="-0.249977111117893"/>
      <name val="Segoe UI Emoji"/>
      <family val="2"/>
    </font>
    <font>
      <b/>
      <sz val="18"/>
      <color theme="1"/>
      <name val="Segoe UI Emoji"/>
      <family val="2"/>
    </font>
    <font>
      <b/>
      <sz val="14"/>
      <color theme="1"/>
      <name val="Segoe UI Emoji"/>
      <family val="2"/>
    </font>
    <font>
      <i/>
      <sz val="11"/>
      <color theme="1"/>
      <name val="Segoe UI Emoji"/>
      <family val="2"/>
    </font>
    <font>
      <b/>
      <sz val="14"/>
      <color rgb="FF009245"/>
      <name val="Segoe UI Emoji"/>
      <family val="2"/>
    </font>
    <font>
      <b/>
      <sz val="14"/>
      <color rgb="FF0070C0"/>
      <name val="Segoe UI Emoji"/>
      <family val="2"/>
    </font>
    <font>
      <b/>
      <sz val="14"/>
      <color rgb="FFF4A000"/>
      <name val="Segoe UI Emoji"/>
      <family val="2"/>
    </font>
    <font>
      <b/>
      <sz val="11"/>
      <color rgb="FF009245"/>
      <name val="Segoe UI Emoji"/>
      <family val="2"/>
    </font>
    <font>
      <sz val="11"/>
      <color theme="1"/>
      <name val="Calibri"/>
      <family val="2"/>
      <scheme val="minor"/>
    </font>
    <font>
      <b/>
      <sz val="11"/>
      <color rgb="FFFFC000"/>
      <name val="Segoe UI Emoji"/>
      <family val="2"/>
    </font>
    <font>
      <b/>
      <sz val="10"/>
      <color rgb="FFFFC000"/>
      <name val="Segoe UI Emoji"/>
      <family val="2"/>
    </font>
    <font>
      <sz val="10"/>
      <color theme="1"/>
      <name val="Segoe UI Emoji"/>
      <family val="2"/>
    </font>
    <font>
      <b/>
      <sz val="11"/>
      <color rgb="FF0070C0"/>
      <name val="Segoe UI Emoji"/>
      <family val="2"/>
    </font>
    <font>
      <b/>
      <sz val="10"/>
      <color rgb="FF0070C0"/>
      <name val="Segoe UI Emoji"/>
      <family val="2"/>
    </font>
    <font>
      <b/>
      <sz val="11"/>
      <color rgb="FF217346"/>
      <name val="Segoe UI Emoji"/>
      <family val="2"/>
    </font>
    <font>
      <b/>
      <sz val="10"/>
      <color rgb="FF217346"/>
      <name val="Segoe UI Emoji"/>
      <family val="2"/>
    </font>
    <font>
      <b/>
      <sz val="13.5"/>
      <color theme="1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6DD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6D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9" fillId="0" borderId="9"/>
  </cellStyleXfs>
  <cellXfs count="66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0" fillId="0" borderId="0" xfId="0" applyNumberFormat="1"/>
    <xf numFmtId="0" fontId="3" fillId="2" borderId="1" xfId="0" applyFont="1" applyFill="1" applyBorder="1"/>
    <xf numFmtId="0" fontId="3" fillId="2" borderId="3" xfId="0" applyFont="1" applyFill="1" applyBorder="1"/>
    <xf numFmtId="164" fontId="0" fillId="0" borderId="6" xfId="0" applyNumberFormat="1" applyBorder="1"/>
    <xf numFmtId="164" fontId="0" fillId="0" borderId="9" xfId="0" applyNumberFormat="1" applyBorder="1"/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0" borderId="9" xfId="2" applyFont="1" applyAlignment="1">
      <alignment horizontal="center"/>
    </xf>
    <xf numFmtId="0" fontId="5" fillId="0" borderId="9" xfId="2" applyFont="1" applyAlignment="1">
      <alignment horizontal="left" vertical="center" indent="1"/>
    </xf>
    <xf numFmtId="0" fontId="2" fillId="0" borderId="9" xfId="2" applyFont="1" applyAlignment="1">
      <alignment horizontal="left" vertical="center" indent="1"/>
    </xf>
    <xf numFmtId="0" fontId="6" fillId="0" borderId="9" xfId="2" applyFont="1" applyAlignment="1">
      <alignment horizontal="center"/>
    </xf>
    <xf numFmtId="0" fontId="6" fillId="0" borderId="9" xfId="2" applyFont="1"/>
    <xf numFmtId="0" fontId="2" fillId="0" borderId="9" xfId="2" applyFont="1"/>
    <xf numFmtId="0" fontId="7" fillId="0" borderId="9" xfId="2" applyFont="1" applyAlignment="1">
      <alignment horizontal="center"/>
    </xf>
    <xf numFmtId="0" fontId="7" fillId="0" borderId="9" xfId="2" applyFont="1"/>
    <xf numFmtId="0" fontId="8" fillId="0" borderId="9" xfId="2" applyFont="1" applyAlignment="1">
      <alignment horizontal="center"/>
    </xf>
    <xf numFmtId="0" fontId="8" fillId="0" borderId="9" xfId="2" applyFont="1"/>
    <xf numFmtId="0" fontId="27" fillId="0" borderId="9" xfId="2" applyFont="1" applyAlignment="1">
      <alignment vertical="center"/>
    </xf>
    <xf numFmtId="0" fontId="2" fillId="0" borderId="9" xfId="2" applyFont="1" applyAlignment="1">
      <alignment horizontal="left"/>
    </xf>
    <xf numFmtId="0" fontId="2" fillId="0" borderId="9" xfId="2" applyFont="1" applyAlignment="1">
      <alignment vertical="center"/>
    </xf>
    <xf numFmtId="0" fontId="2" fillId="0" borderId="9" xfId="2" applyFont="1" applyAlignment="1">
      <alignment horizontal="center" vertical="center"/>
    </xf>
    <xf numFmtId="0" fontId="2" fillId="0" borderId="9" xfId="2" quotePrefix="1" applyFont="1" applyAlignment="1">
      <alignment vertical="center"/>
    </xf>
    <xf numFmtId="0" fontId="2" fillId="0" borderId="9" xfId="2" applyFont="1" applyAlignment="1">
      <alignment horizontal="left" vertical="center"/>
    </xf>
    <xf numFmtId="0" fontId="10" fillId="0" borderId="9" xfId="2" applyFont="1" applyAlignment="1">
      <alignment horizontal="center"/>
    </xf>
    <xf numFmtId="0" fontId="10" fillId="0" borderId="9" xfId="2" applyFont="1"/>
    <xf numFmtId="0" fontId="3" fillId="0" borderId="9" xfId="2" applyFont="1"/>
    <xf numFmtId="0" fontId="3" fillId="0" borderId="9" xfId="2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2" quotePrefix="1" applyFont="1" applyAlignment="1">
      <alignment horizontal="center"/>
    </xf>
    <xf numFmtId="0" fontId="2" fillId="0" borderId="9" xfId="2" applyFont="1" applyAlignment="1">
      <alignment horizontal="center"/>
    </xf>
    <xf numFmtId="0" fontId="9" fillId="0" borderId="9" xfId="2" applyFont="1" applyAlignment="1">
      <alignment horizontal="center" vertical="center"/>
    </xf>
    <xf numFmtId="0" fontId="11" fillId="0" borderId="9" xfId="2" applyFont="1" applyAlignment="1">
      <alignment horizontal="center" vertical="center"/>
    </xf>
    <xf numFmtId="0" fontId="3" fillId="0" borderId="0" xfId="0" applyFont="1" applyAlignment="1">
      <alignment horizontal="left"/>
    </xf>
    <xf numFmtId="0" fontId="18" fillId="0" borderId="0" xfId="0" applyFont="1"/>
    <xf numFmtId="0" fontId="3" fillId="0" borderId="0" xfId="0" applyFont="1"/>
    <xf numFmtId="0" fontId="14" fillId="7" borderId="9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3" fillId="0" borderId="0" xfId="0" applyFont="1"/>
    <xf numFmtId="0" fontId="0" fillId="0" borderId="0" xfId="0"/>
    <xf numFmtId="0" fontId="0" fillId="4" borderId="0" xfId="0" applyFill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2" fillId="0" borderId="0" xfId="0" applyFont="1"/>
    <xf numFmtId="0" fontId="14" fillId="4" borderId="0" xfId="0" applyFont="1" applyFill="1" applyAlignment="1">
      <alignment wrapText="1"/>
    </xf>
    <xf numFmtId="0" fontId="12" fillId="0" borderId="0" xfId="0" applyFont="1" applyAlignment="1">
      <alignment horizontal="left"/>
    </xf>
  </cellXfs>
  <cellStyles count="3">
    <cellStyle name="Normal" xfId="0" builtinId="0"/>
    <cellStyle name="Normal 5" xfId="1" xr:uid="{00000000-0005-0000-0000-000001000000}"/>
    <cellStyle name="Normal 5 2" xfId="2" xr:uid="{4E0C8854-1979-4893-AFE2-10CB9C3A1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69152</xdr:colOff>
      <xdr:row>17</xdr:row>
      <xdr:rowOff>54673</xdr:rowOff>
    </xdr:from>
    <xdr:to>
      <xdr:col>6</xdr:col>
      <xdr:colOff>132017</xdr:colOff>
      <xdr:row>18</xdr:row>
      <xdr:rowOff>59626</xdr:rowOff>
    </xdr:to>
    <xdr:sp macro="" textlink="">
      <xdr:nvSpPr>
        <xdr:cNvPr id="2" name="Chaveta à esquerda 1">
          <a:extLst>
            <a:ext uri="{FF2B5EF4-FFF2-40B4-BE49-F238E27FC236}">
              <a16:creationId xmlns:a16="http://schemas.microsoft.com/office/drawing/2014/main" id="{D3EE0BB0-CE26-4C5F-BC65-95CDC0DE7482}"/>
            </a:ext>
          </a:extLst>
        </xdr:cNvPr>
        <xdr:cNvSpPr/>
      </xdr:nvSpPr>
      <xdr:spPr>
        <a:xfrm rot="16200000">
          <a:off x="907733" y="3235642"/>
          <a:ext cx="214503" cy="97726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acao\Excel%20N1\Curso%20Excel%20N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tos\Codex\Projetos-Codex\UFCD0778\assets\ficheiros\Excel\F&#243;rmulas.xlsx" TargetMode="External"/><Relationship Id="rId1" Type="http://schemas.openxmlformats.org/officeDocument/2006/relationships/externalLinkPath" Target="F&#243;rmul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Desktop\Documentos%20da%20Micro\Celia\Pasta%20de%20Exercicios%20da%20C&#233;lia\EXCEL\DIVERS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acao\Excel\Excel%202\Excel%203&#170;%20seman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Desktop\Documentos%20da%20Micro\Celia\Pasta%20de%20Exercicios%20da%20C&#233;lia\EXCEL\EXERCICIOS%20DAS%20AULAS%20DE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dos Exercicios"/>
      <sheetName val="FolhaSalarialJulho"/>
      <sheetName val="FolhaSalarialAgosto"/>
      <sheetName val="Listas"/>
      <sheetName val="Despesas Mensais"/>
      <sheetName val="Livraria"/>
      <sheetName val="Formatacao numeros"/>
      <sheetName val="Constantes DM"/>
      <sheetName val="Pauta Alunos"/>
      <sheetName val="Tabelas de Verdade"/>
      <sheetName val="Gráficos"/>
      <sheetName val="Nome de Blocos"/>
      <sheetName val="Funco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>
            <v>1</v>
          </cell>
          <cell r="C2">
            <v>2</v>
          </cell>
          <cell r="D2">
            <v>4</v>
          </cell>
          <cell r="E2">
            <v>7</v>
          </cell>
        </row>
        <row r="4">
          <cell r="B4">
            <v>12</v>
          </cell>
          <cell r="C4">
            <v>15</v>
          </cell>
          <cell r="D4">
            <v>14</v>
          </cell>
        </row>
        <row r="5">
          <cell r="B5">
            <v>15</v>
          </cell>
          <cell r="C5">
            <v>13</v>
          </cell>
          <cell r="D5">
            <v>15</v>
          </cell>
        </row>
        <row r="6">
          <cell r="B6">
            <v>10</v>
          </cell>
          <cell r="C6">
            <v>11</v>
          </cell>
          <cell r="D6">
            <v>12</v>
          </cell>
        </row>
        <row r="7">
          <cell r="B7">
            <v>14</v>
          </cell>
          <cell r="C7">
            <v>14</v>
          </cell>
          <cell r="D7">
            <v>15</v>
          </cell>
        </row>
        <row r="8">
          <cell r="B8">
            <v>15</v>
          </cell>
          <cell r="C8">
            <v>16</v>
          </cell>
          <cell r="D8">
            <v>17</v>
          </cell>
        </row>
        <row r="9">
          <cell r="B9">
            <v>16</v>
          </cell>
          <cell r="C9">
            <v>17</v>
          </cell>
          <cell r="D9">
            <v>17</v>
          </cell>
        </row>
        <row r="10">
          <cell r="B10">
            <v>10</v>
          </cell>
          <cell r="C10">
            <v>11</v>
          </cell>
          <cell r="D10">
            <v>12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ício"/>
      <sheetName val="Noções Básicas"/>
      <sheetName val="Introdução às Funções"/>
      <sheetName val="MÉDIA"/>
      <sheetName val="MÍNIMO E MÁXIMO"/>
      <sheetName val="Data e Hora"/>
      <sheetName val="Unir texto e números"/>
      <sheetName val="Instruções SE"/>
      <sheetName val="PROCV"/>
      <sheetName val="Funções Condicionais"/>
      <sheetName val="Assistente de Funções"/>
      <sheetName val="Erros em Fórmulas"/>
      <sheetName val="Resumo Funções"/>
      <sheetName val="Saiba mais"/>
      <sheetName val="Fó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 dos alunos"/>
      <sheetName val="MÉDIAS"/>
      <sheetName val="TELEMÓVEIS"/>
      <sheetName val="Funcionários"/>
      <sheetName val="lucros - TERMINAR"/>
      <sheetName val="orçamento"/>
      <sheetName val="num dias"/>
      <sheetName val="C_STOCKS"/>
      <sheetName val="NOTAS ( BASE DE DADOS ) (3)"/>
      <sheetName val="EXERCÍCIO DE EXCEL"/>
      <sheetName val="C_Extract2"/>
      <sheetName val="C_Letras"/>
      <sheetName val="NOTAS ( BASE DE DADOS ) (2)"/>
      <sheetName val="index-match"/>
      <sheetName val="NOTAS ( BASE DE DADOS )"/>
      <sheetName val="ANALISE DE VENDAS"/>
      <sheetName val="FUNÇÃO &amp; GRÁFICO"/>
      <sheetName val="RECIBO DOS FUNCIONÁRIOS - 4 pp"/>
      <sheetName val="RECIBO DOS FUNCIONÁRIOS - 2 pp"/>
      <sheetName val="telelés"/>
      <sheetName val="ORCAMENTO-arrumar"/>
      <sheetName val="CONTROLO DE PRODUTOS-arrumar"/>
      <sheetName val="Sheet1 (2)"/>
      <sheetName val="Cursode Informática"/>
      <sheetName val="Folhas de stocks"/>
      <sheetName val="Super mercado preço leve"/>
      <sheetName val="Marcas"/>
      <sheetName val="Controlo de Aéroporto"/>
      <sheetName val="TP-DOIS"/>
      <sheetName val="COMPARAÇÃO DE PREÇOS"/>
      <sheetName val="VARELA E FILHOS, LDA"/>
      <sheetName val="TABELA INDIVIDUAL DE VOOS"/>
      <sheetName val="Ginasio sempre em Forma"/>
      <sheetName val="Multas"/>
      <sheetName val="Livraria dos poetas mortos"/>
      <sheetName val="Factura"/>
      <sheetName val="Folha16"/>
      <sheetName val="Receitas"/>
      <sheetName val="Recursos Humanos"/>
      <sheetName val="Volume de Vendas"/>
      <sheetName val="Contas do Mês"/>
      <sheetName val="Vendas número 1"/>
      <sheetName val="Folha8"/>
      <sheetName val="Folha9"/>
      <sheetName val="Notas Turma"/>
      <sheetName val="Ginásio Sempre em Forma"/>
      <sheetName val="Folha11"/>
      <sheetName val="Folha10"/>
      <sheetName val="Folha7"/>
      <sheetName val="Folha6"/>
      <sheetName val="Folha5"/>
      <sheetName val="Folha2"/>
      <sheetName val="Folha1"/>
      <sheetName val="Stand OS BORLÕES"/>
      <sheetName val="vou aqu- -&gt;Recibos"/>
      <sheetName val="telemoveis"/>
      <sheetName val="Salários dos Funcioná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6">
          <cell r="B26" t="str">
            <v>NOME DO ALUNO</v>
          </cell>
          <cell r="C26" t="str">
            <v>INTRODUÇÃO</v>
          </cell>
          <cell r="D26" t="str">
            <v>DOS</v>
          </cell>
          <cell r="E26" t="str">
            <v>WINDOWS</v>
          </cell>
          <cell r="F26" t="str">
            <v>WINWORD</v>
          </cell>
          <cell r="G26" t="str">
            <v>EXCEL</v>
          </cell>
          <cell r="H26" t="str">
            <v>ACCESS</v>
          </cell>
          <cell r="I26" t="str">
            <v>MÉDIA FINAL</v>
          </cell>
          <cell r="J26" t="str">
            <v>APROVEITAMENTO</v>
          </cell>
        </row>
        <row r="27">
          <cell r="G27" t="str">
            <v>&gt;=17</v>
          </cell>
          <cell r="I27" t="str">
            <v>&gt;=15</v>
          </cell>
        </row>
        <row r="33">
          <cell r="B33" t="str">
            <v>NOME DO ALUNO</v>
          </cell>
          <cell r="C33" t="str">
            <v>INTRODUÇÃO</v>
          </cell>
          <cell r="D33" t="str">
            <v>DOS</v>
          </cell>
          <cell r="E33" t="str">
            <v>WINDOWS</v>
          </cell>
          <cell r="F33" t="str">
            <v>WINWORD</v>
          </cell>
          <cell r="G33" t="str">
            <v>EXCEL</v>
          </cell>
          <cell r="H33" t="str">
            <v>ACCESS</v>
          </cell>
          <cell r="I33" t="str">
            <v>MÉDIA FINAL</v>
          </cell>
          <cell r="J33" t="str">
            <v>APROVEITAMENTO</v>
          </cell>
        </row>
        <row r="34">
          <cell r="B34" t="str">
            <v>Paulo Alberto</v>
          </cell>
          <cell r="C34">
            <v>15</v>
          </cell>
          <cell r="D34">
            <v>15</v>
          </cell>
          <cell r="E34">
            <v>15</v>
          </cell>
          <cell r="F34">
            <v>18</v>
          </cell>
          <cell r="G34">
            <v>17</v>
          </cell>
          <cell r="H34">
            <v>16</v>
          </cell>
          <cell r="I34">
            <v>16</v>
          </cell>
          <cell r="J34" t="str">
            <v>APROVADO</v>
          </cell>
        </row>
        <row r="35">
          <cell r="B35" t="str">
            <v>Jorge Martins</v>
          </cell>
          <cell r="C35">
            <v>19</v>
          </cell>
          <cell r="D35">
            <v>19</v>
          </cell>
          <cell r="E35">
            <v>19</v>
          </cell>
          <cell r="F35">
            <v>18</v>
          </cell>
          <cell r="G35">
            <v>19</v>
          </cell>
          <cell r="H35">
            <v>18</v>
          </cell>
          <cell r="I35">
            <v>18.666666666666668</v>
          </cell>
          <cell r="J35" t="str">
            <v>APROVADO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e Funções"/>
      <sheetName val="Planner"/>
      <sheetName val="Exerc 1"/>
      <sheetName val="Funções Financeiras"/>
      <sheetName val="Funções Proc e Ref"/>
      <sheetName val="R. Proc. e REf."/>
      <sheetName val="BaseFact"/>
      <sheetName val="Exerc 2"/>
      <sheetName val="Revisão pgt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1</v>
          </cell>
          <cell r="C2" t="str">
            <v>Rua A</v>
          </cell>
          <cell r="D2" t="str">
            <v>1000-101</v>
          </cell>
          <cell r="E2" t="str">
            <v>Lisboa</v>
          </cell>
          <cell r="F2">
            <v>502122122</v>
          </cell>
        </row>
        <row r="3">
          <cell r="A3">
            <v>2</v>
          </cell>
          <cell r="C3" t="str">
            <v>Av B</v>
          </cell>
          <cell r="D3" t="str">
            <v>1200-145</v>
          </cell>
          <cell r="E3" t="str">
            <v>Lisboa</v>
          </cell>
          <cell r="F3">
            <v>506325256</v>
          </cell>
        </row>
        <row r="4">
          <cell r="A4">
            <v>3</v>
          </cell>
          <cell r="C4" t="str">
            <v>Prct J</v>
          </cell>
          <cell r="D4" t="str">
            <v>1300-145</v>
          </cell>
          <cell r="E4" t="str">
            <v>Lisboa</v>
          </cell>
          <cell r="F4">
            <v>506124411</v>
          </cell>
        </row>
        <row r="5">
          <cell r="A5">
            <v>4</v>
          </cell>
          <cell r="C5" t="str">
            <v>Av U</v>
          </cell>
          <cell r="D5" t="str">
            <v>4000-123</v>
          </cell>
          <cell r="E5" t="str">
            <v>Porto</v>
          </cell>
          <cell r="F5">
            <v>500121788</v>
          </cell>
        </row>
        <row r="6">
          <cell r="A6">
            <v>5</v>
          </cell>
          <cell r="C6" t="str">
            <v>Rua P</v>
          </cell>
          <cell r="D6" t="str">
            <v>3200-100</v>
          </cell>
          <cell r="E6" t="str">
            <v>Coimbra</v>
          </cell>
          <cell r="F6">
            <v>500969896</v>
          </cell>
        </row>
        <row r="7">
          <cell r="A7">
            <v>6</v>
          </cell>
          <cell r="C7" t="str">
            <v>Rua T</v>
          </cell>
          <cell r="D7" t="str">
            <v>2800-100</v>
          </cell>
          <cell r="E7" t="str">
            <v>Almada</v>
          </cell>
          <cell r="F7">
            <v>501789987</v>
          </cell>
        </row>
        <row r="8">
          <cell r="A8">
            <v>7</v>
          </cell>
          <cell r="C8" t="str">
            <v>Av G</v>
          </cell>
          <cell r="D8" t="str">
            <v>1852-121</v>
          </cell>
          <cell r="E8" t="str">
            <v>Lisboa</v>
          </cell>
          <cell r="F8">
            <v>501569999</v>
          </cell>
        </row>
        <row r="9">
          <cell r="A9">
            <v>8</v>
          </cell>
          <cell r="C9" t="str">
            <v>Av o</v>
          </cell>
          <cell r="D9" t="str">
            <v>1900-420</v>
          </cell>
          <cell r="E9" t="str">
            <v>Lisboa</v>
          </cell>
          <cell r="F9">
            <v>502788114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rcício 1 - Volvendas"/>
      <sheetName val="Exercício 2 - Notas"/>
      <sheetName val="Exercício Extra1 - Volvendas2"/>
      <sheetName val="Extra 2 - Factura"/>
      <sheetName val="Exercício 3 - Stocks Eurotools"/>
      <sheetName val="Exercício 4 - Receitas-Despesas"/>
      <sheetName val="Exercício 5 - Vendas Eurotools"/>
      <sheetName val="Exercício 6 - Vendas 1994"/>
      <sheetName val="Extra 3 - FOLHA DE VENDAS"/>
      <sheetName val="Extra 4 - Despesas Mensais"/>
      <sheetName val="Exercício 7 - Vendas Hardware"/>
      <sheetName val="Exercício 8 - Recursos Humanos"/>
      <sheetName val="Exercício 9 - FÉRIAS"/>
      <sheetName val="Exercício 10 - Descontos"/>
      <sheetName val="Exercício 11 - CURSOS"/>
      <sheetName val="Exercício 12 - Telefones"/>
      <sheetName val="Exercício 13 - FACTURAÇÃO"/>
      <sheetName val="Exercício 14 - Ordenados"/>
      <sheetName val="Exercício 15 - Ginásio"/>
      <sheetName val="Exercício 16 - EDITORAS"/>
      <sheetName val="Exercício 18 - regi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9">
          <cell r="E9" t="str">
            <v>tabela de comissões</v>
          </cell>
        </row>
        <row r="10">
          <cell r="E10">
            <v>150000</v>
          </cell>
          <cell r="F10">
            <v>0.03</v>
          </cell>
        </row>
        <row r="11">
          <cell r="E11">
            <v>250000</v>
          </cell>
          <cell r="F11">
            <v>0.05</v>
          </cell>
        </row>
        <row r="12">
          <cell r="E12">
            <v>350000</v>
          </cell>
          <cell r="F12">
            <v>7.0000000000000007E-2</v>
          </cell>
        </row>
        <row r="13">
          <cell r="E13">
            <v>400000</v>
          </cell>
          <cell r="F13">
            <v>0.1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9EBD-2FA1-48CD-8388-EED218893F35}">
  <dimension ref="B2:AJ44"/>
  <sheetViews>
    <sheetView showGridLines="0" tabSelected="1" workbookViewId="0">
      <selection activeCell="J30" sqref="J30"/>
    </sheetView>
  </sheetViews>
  <sheetFormatPr defaultColWidth="3" defaultRowHeight="18.600000000000001" customHeight="1"/>
  <cols>
    <col min="1" max="16384" width="3" style="22"/>
  </cols>
  <sheetData>
    <row r="2" spans="2:36" ht="18.600000000000001" customHeight="1">
      <c r="AJ2" s="33"/>
    </row>
    <row r="3" spans="2:36" ht="18.600000000000001" customHeight="1">
      <c r="D3" s="22">
        <v>1</v>
      </c>
      <c r="E3" s="22" t="s">
        <v>0</v>
      </c>
      <c r="F3" s="22">
        <v>1</v>
      </c>
      <c r="H3" s="46" t="s">
        <v>1</v>
      </c>
      <c r="I3" s="46"/>
      <c r="K3" s="22" t="s">
        <v>2</v>
      </c>
      <c r="M3" s="46" t="s">
        <v>3</v>
      </c>
      <c r="N3" s="46"/>
      <c r="O3" s="46"/>
    </row>
    <row r="5" spans="2:36" ht="18.600000000000001" customHeight="1">
      <c r="D5" s="22">
        <v>1</v>
      </c>
      <c r="E5" s="22" t="s">
        <v>0</v>
      </c>
      <c r="F5" s="22">
        <v>1</v>
      </c>
      <c r="G5" s="22" t="s">
        <v>4</v>
      </c>
      <c r="H5" s="47">
        <f>1+1</f>
        <v>2</v>
      </c>
      <c r="I5" s="47"/>
      <c r="L5" s="22" t="s">
        <v>4</v>
      </c>
      <c r="M5" s="47">
        <f>D5+F5</f>
        <v>2</v>
      </c>
      <c r="N5" s="47"/>
      <c r="O5" s="47"/>
    </row>
    <row r="6" spans="2:36" ht="18.600000000000001" customHeight="1">
      <c r="T6" s="24"/>
    </row>
    <row r="7" spans="2:36" ht="18.600000000000001" customHeight="1">
      <c r="T7" s="24"/>
    </row>
    <row r="9" spans="2:36" ht="18.600000000000001" customHeight="1">
      <c r="B9" s="41" t="s">
        <v>5</v>
      </c>
      <c r="F9" s="22" t="s">
        <v>6</v>
      </c>
      <c r="H9" s="33" t="s">
        <v>7</v>
      </c>
    </row>
    <row r="11" spans="2:36" ht="18.600000000000001" customHeight="1">
      <c r="B11" s="40" t="s">
        <v>8</v>
      </c>
      <c r="K11" s="27" t="s">
        <v>9</v>
      </c>
    </row>
    <row r="12" spans="2:36" ht="18.600000000000001" customHeight="1">
      <c r="E12" s="49" t="s">
        <v>10</v>
      </c>
      <c r="F12" s="49"/>
      <c r="K12" s="27" t="s">
        <v>11</v>
      </c>
    </row>
    <row r="13" spans="2:36" ht="18.600000000000001" customHeight="1">
      <c r="E13" s="49"/>
      <c r="F13" s="49"/>
    </row>
    <row r="14" spans="2:36" ht="18.600000000000001" customHeight="1">
      <c r="D14" s="22" t="s">
        <v>12</v>
      </c>
      <c r="F14" s="22" t="s">
        <v>13</v>
      </c>
    </row>
    <row r="15" spans="2:36" s="39" customFormat="1" ht="18.600000000000001" customHeight="1">
      <c r="C15" s="38"/>
      <c r="D15" s="48" t="s">
        <v>10</v>
      </c>
      <c r="F15" s="48" t="s">
        <v>10</v>
      </c>
      <c r="G15" s="38"/>
      <c r="H15" s="38"/>
      <c r="I15" s="38"/>
      <c r="J15" s="38"/>
      <c r="K15" s="38"/>
      <c r="L15" s="38"/>
    </row>
    <row r="16" spans="2:36" ht="18.600000000000001" customHeight="1">
      <c r="D16" s="48"/>
      <c r="E16" s="38"/>
      <c r="F16" s="48"/>
    </row>
    <row r="17" spans="2:17" ht="18.600000000000001" customHeight="1">
      <c r="D17" s="22" t="s">
        <v>14</v>
      </c>
      <c r="F17" s="22">
        <v>1</v>
      </c>
    </row>
    <row r="20" spans="2:17" ht="18.600000000000001" customHeight="1">
      <c r="B20" s="35" t="s">
        <v>15</v>
      </c>
      <c r="C20" s="34" t="s">
        <v>169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4" t="s">
        <v>16</v>
      </c>
    </row>
    <row r="21" spans="2:17" ht="18.600000000000001" customHeight="1">
      <c r="B21" s="35"/>
      <c r="C21" s="37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2:17" ht="18.600000000000001" customHeight="1">
      <c r="B22" s="35" t="s">
        <v>15</v>
      </c>
      <c r="C22" s="36" t="s">
        <v>168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Q22" s="34" t="s">
        <v>17</v>
      </c>
    </row>
    <row r="23" spans="2:17" ht="18.600000000000001" customHeight="1">
      <c r="Q23" s="33" t="s">
        <v>18</v>
      </c>
    </row>
    <row r="26" spans="2:17" ht="18.600000000000001" customHeight="1">
      <c r="C26" s="32" t="s">
        <v>167</v>
      </c>
    </row>
    <row r="27" spans="2:17" ht="18.600000000000001" customHeight="1">
      <c r="C27" s="27"/>
    </row>
    <row r="28" spans="2:17" ht="18.600000000000001" customHeight="1">
      <c r="C28" s="22" t="s">
        <v>4</v>
      </c>
      <c r="E28" s="22" t="s">
        <v>14</v>
      </c>
      <c r="G28" s="22">
        <v>1</v>
      </c>
      <c r="J28" s="22" t="str">
        <f>CONCATENATE(C28,D28,E28,F28,G28)</f>
        <v>=A1</v>
      </c>
    </row>
    <row r="29" spans="2:17" ht="18.600000000000001" customHeight="1">
      <c r="J29" s="22">
        <f>A1</f>
        <v>0</v>
      </c>
    </row>
    <row r="31" spans="2:17" ht="18.600000000000001" customHeight="1">
      <c r="C31" s="31" t="s">
        <v>166</v>
      </c>
      <c r="D31" s="30"/>
      <c r="E31" s="30"/>
      <c r="F31" s="30"/>
      <c r="G31" s="30"/>
    </row>
    <row r="32" spans="2:17" ht="18.600000000000001" customHeight="1">
      <c r="C32" s="24"/>
    </row>
    <row r="33" spans="3:9" ht="18.600000000000001" customHeight="1">
      <c r="C33" s="24" t="s">
        <v>19</v>
      </c>
    </row>
    <row r="34" spans="3:9" ht="18.600000000000001" customHeight="1">
      <c r="C34" s="24" t="s">
        <v>165</v>
      </c>
    </row>
    <row r="35" spans="3:9" ht="18.600000000000001" customHeight="1">
      <c r="C35" s="27"/>
    </row>
    <row r="36" spans="3:9" ht="18.600000000000001" customHeight="1">
      <c r="C36" s="29" t="s">
        <v>164</v>
      </c>
      <c r="D36" s="28"/>
      <c r="E36" s="28"/>
      <c r="F36" s="28"/>
      <c r="G36" s="28"/>
      <c r="H36" s="28"/>
    </row>
    <row r="37" spans="3:9" ht="18.600000000000001" customHeight="1">
      <c r="C37" s="24"/>
    </row>
    <row r="38" spans="3:9" ht="18.600000000000001" customHeight="1">
      <c r="C38" s="24" t="s">
        <v>20</v>
      </c>
    </row>
    <row r="39" spans="3:9" ht="18.600000000000001" customHeight="1">
      <c r="C39" s="24" t="s">
        <v>163</v>
      </c>
    </row>
    <row r="40" spans="3:9" ht="18.600000000000001" customHeight="1">
      <c r="C40" s="27"/>
    </row>
    <row r="41" spans="3:9" ht="18.600000000000001" customHeight="1">
      <c r="C41" s="26" t="s">
        <v>162</v>
      </c>
      <c r="D41" s="25"/>
      <c r="E41" s="25"/>
      <c r="F41" s="25"/>
      <c r="G41" s="25"/>
      <c r="H41" s="25"/>
      <c r="I41" s="25"/>
    </row>
    <row r="42" spans="3:9" ht="18.600000000000001" customHeight="1">
      <c r="C42" s="24"/>
    </row>
    <row r="43" spans="3:9" ht="18.600000000000001" customHeight="1">
      <c r="C43" s="23" t="s">
        <v>161</v>
      </c>
    </row>
    <row r="44" spans="3:9" ht="18.600000000000001" customHeight="1">
      <c r="C44" s="23" t="s">
        <v>160</v>
      </c>
    </row>
  </sheetData>
  <mergeCells count="7">
    <mergeCell ref="H3:I3"/>
    <mergeCell ref="M3:O3"/>
    <mergeCell ref="H5:I5"/>
    <mergeCell ref="M5:O5"/>
    <mergeCell ref="D15:D16"/>
    <mergeCell ref="F15:F16"/>
    <mergeCell ref="E12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1"/>
  <sheetViews>
    <sheetView workbookViewId="0">
      <selection activeCell="B17" sqref="B17:J18"/>
    </sheetView>
  </sheetViews>
  <sheetFormatPr defaultRowHeight="16.5"/>
  <cols>
    <col min="2" max="2" width="12.375" bestFit="1" customWidth="1"/>
    <col min="3" max="3" width="9.5" bestFit="1" customWidth="1"/>
    <col min="4" max="4" width="29.75" bestFit="1" customWidth="1"/>
    <col min="5" max="5" width="22.5" bestFit="1" customWidth="1"/>
    <col min="6" max="6" width="4" customWidth="1"/>
    <col min="7" max="7" width="8.625" bestFit="1" customWidth="1"/>
    <col min="8" max="11" width="6.375" customWidth="1"/>
    <col min="12" max="12" width="4" customWidth="1"/>
    <col min="13" max="13" width="9.5" bestFit="1" customWidth="1"/>
    <col min="14" max="14" width="27.875" bestFit="1" customWidth="1"/>
    <col min="15" max="15" width="10.5" bestFit="1" customWidth="1"/>
  </cols>
  <sheetData>
    <row r="2" spans="2:15">
      <c r="B2" s="50" t="s">
        <v>111</v>
      </c>
      <c r="C2" s="50"/>
      <c r="D2" s="50"/>
      <c r="E2" s="50"/>
      <c r="F2" s="50"/>
    </row>
    <row r="4" spans="2:15" ht="16.5" customHeight="1">
      <c r="B4" s="55" t="s">
        <v>112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7" spans="2:15">
      <c r="B7" s="51" t="s">
        <v>113</v>
      </c>
      <c r="C7" s="51"/>
      <c r="D7" s="51"/>
      <c r="E7" s="51"/>
      <c r="F7" s="51"/>
      <c r="G7" s="52" t="s">
        <v>66</v>
      </c>
      <c r="H7" s="52"/>
      <c r="I7" s="52"/>
      <c r="J7" s="52"/>
      <c r="K7" s="52"/>
      <c r="L7" s="52"/>
      <c r="M7" s="52"/>
      <c r="N7" s="52"/>
      <c r="O7" s="52"/>
    </row>
    <row r="9" spans="2:15">
      <c r="B9" s="20" t="s">
        <v>114</v>
      </c>
      <c r="C9" s="20" t="s">
        <v>115</v>
      </c>
      <c r="D9" s="20" t="s">
        <v>116</v>
      </c>
      <c r="E9" s="20" t="s">
        <v>117</v>
      </c>
      <c r="G9" s="21" t="s">
        <v>73</v>
      </c>
      <c r="H9" s="21" t="s">
        <v>142</v>
      </c>
      <c r="I9" s="21" t="s">
        <v>143</v>
      </c>
      <c r="J9" s="21" t="s">
        <v>144</v>
      </c>
      <c r="K9" s="21" t="s">
        <v>145</v>
      </c>
      <c r="M9" s="21" t="s">
        <v>115</v>
      </c>
      <c r="N9" s="21" t="s">
        <v>146</v>
      </c>
      <c r="O9" s="21" t="s">
        <v>28</v>
      </c>
    </row>
    <row r="10" spans="2:15">
      <c r="B10" s="1" t="s">
        <v>118</v>
      </c>
      <c r="C10" s="1" t="s">
        <v>119</v>
      </c>
      <c r="D10" s="1" t="s">
        <v>120</v>
      </c>
      <c r="E10" s="1" t="s">
        <v>121</v>
      </c>
      <c r="G10" s="19" t="s">
        <v>14</v>
      </c>
      <c r="H10">
        <v>10</v>
      </c>
      <c r="I10">
        <v>12</v>
      </c>
      <c r="J10">
        <v>15</v>
      </c>
      <c r="K10">
        <f>SUM(H10:J10)</f>
        <v>37</v>
      </c>
      <c r="M10" s="1" t="s">
        <v>147</v>
      </c>
      <c r="N10" s="1" t="s">
        <v>148</v>
      </c>
      <c r="O10" s="1">
        <f>SUM(H10:J10)</f>
        <v>37</v>
      </c>
    </row>
    <row r="11" spans="2:15">
      <c r="B11" s="1" t="s">
        <v>122</v>
      </c>
      <c r="C11" s="1" t="s">
        <v>123</v>
      </c>
      <c r="D11" s="1" t="s">
        <v>124</v>
      </c>
      <c r="E11" s="1" t="s">
        <v>125</v>
      </c>
      <c r="G11" s="19" t="s">
        <v>149</v>
      </c>
      <c r="H11">
        <v>8</v>
      </c>
      <c r="I11">
        <v>9</v>
      </c>
      <c r="J11">
        <v>11</v>
      </c>
      <c r="K11">
        <f>SUM(H11:J11)</f>
        <v>28</v>
      </c>
      <c r="M11" s="1" t="s">
        <v>150</v>
      </c>
      <c r="N11" s="1" t="s">
        <v>151</v>
      </c>
      <c r="O11" s="1">
        <f>SUM(H10:H13)</f>
        <v>38</v>
      </c>
    </row>
    <row r="12" spans="2:15">
      <c r="B12" s="1" t="s">
        <v>126</v>
      </c>
      <c r="C12" s="1" t="s">
        <v>127</v>
      </c>
      <c r="D12" s="1" t="s">
        <v>128</v>
      </c>
      <c r="E12" s="1" t="s">
        <v>129</v>
      </c>
      <c r="G12" s="19" t="s">
        <v>152</v>
      </c>
      <c r="H12">
        <v>14</v>
      </c>
      <c r="I12">
        <v>10</v>
      </c>
      <c r="J12">
        <v>13</v>
      </c>
      <c r="K12">
        <f>SUM(H12:J12)</f>
        <v>37</v>
      </c>
      <c r="M12" s="1" t="s">
        <v>153</v>
      </c>
      <c r="N12" s="1" t="s">
        <v>154</v>
      </c>
      <c r="O12" s="1">
        <f>SUM(H10:J13)</f>
        <v>124</v>
      </c>
    </row>
    <row r="13" spans="2:15">
      <c r="B13" s="1" t="s">
        <v>130</v>
      </c>
      <c r="C13" s="1" t="s">
        <v>131</v>
      </c>
      <c r="D13" s="1" t="s">
        <v>132</v>
      </c>
      <c r="E13" s="1" t="s">
        <v>133</v>
      </c>
      <c r="G13" s="19" t="s">
        <v>155</v>
      </c>
      <c r="H13">
        <v>6</v>
      </c>
      <c r="I13">
        <v>7</v>
      </c>
      <c r="J13">
        <v>9</v>
      </c>
      <c r="K13">
        <f>SUM(H13:J13)</f>
        <v>22</v>
      </c>
      <c r="M13" s="1" t="s">
        <v>156</v>
      </c>
      <c r="N13" s="1" t="s">
        <v>157</v>
      </c>
      <c r="O13" s="1">
        <f>SUM(K10:K13)</f>
        <v>124</v>
      </c>
    </row>
    <row r="14" spans="2:15">
      <c r="B14" s="1" t="s">
        <v>134</v>
      </c>
      <c r="C14" s="1" t="s">
        <v>135</v>
      </c>
      <c r="D14" s="1" t="s">
        <v>136</v>
      </c>
      <c r="E14" s="1" t="s">
        <v>137</v>
      </c>
    </row>
    <row r="15" spans="2:15">
      <c r="B15" s="1" t="s">
        <v>138</v>
      </c>
      <c r="C15" s="1" t="s">
        <v>139</v>
      </c>
      <c r="D15" s="1" t="s">
        <v>140</v>
      </c>
      <c r="E15" s="1" t="s">
        <v>141</v>
      </c>
    </row>
    <row r="17" spans="2:10">
      <c r="B17" s="53" t="s">
        <v>158</v>
      </c>
      <c r="C17" s="53"/>
      <c r="D17" s="53"/>
      <c r="E17" s="53"/>
      <c r="F17" s="53"/>
      <c r="G17" s="53"/>
      <c r="H17" s="53"/>
      <c r="I17" s="53"/>
      <c r="J17" s="53"/>
    </row>
    <row r="18" spans="2:10">
      <c r="B18" s="53"/>
      <c r="C18" s="53"/>
      <c r="D18" s="53"/>
      <c r="E18" s="53"/>
      <c r="F18" s="53"/>
      <c r="G18" s="53"/>
      <c r="H18" s="53"/>
      <c r="I18" s="53"/>
      <c r="J18" s="53"/>
    </row>
    <row r="20" spans="2:10">
      <c r="B20" s="54" t="s">
        <v>159</v>
      </c>
      <c r="C20" s="54"/>
      <c r="D20" s="54"/>
      <c r="E20" s="54"/>
      <c r="F20" s="54"/>
      <c r="G20" s="54"/>
      <c r="H20" s="54"/>
      <c r="I20" s="54"/>
      <c r="J20" s="54"/>
    </row>
    <row r="21" spans="2:10">
      <c r="B21" s="54"/>
      <c r="C21" s="54"/>
      <c r="D21" s="54"/>
      <c r="E21" s="54"/>
      <c r="F21" s="54"/>
      <c r="G21" s="54"/>
      <c r="H21" s="54"/>
      <c r="I21" s="54"/>
      <c r="J21" s="54"/>
    </row>
  </sheetData>
  <mergeCells count="6">
    <mergeCell ref="B2:F2"/>
    <mergeCell ref="B7:F7"/>
    <mergeCell ref="G7:O7"/>
    <mergeCell ref="B17:J18"/>
    <mergeCell ref="B20:J21"/>
    <mergeCell ref="B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5"/>
  <sheetViews>
    <sheetView topLeftCell="A12" workbookViewId="0">
      <selection activeCell="B34" sqref="B34:J35"/>
    </sheetView>
  </sheetViews>
  <sheetFormatPr defaultRowHeight="16.5"/>
  <cols>
    <col min="2" max="2" width="15.125" bestFit="1" customWidth="1"/>
    <col min="3" max="3" width="14.875" bestFit="1" customWidth="1"/>
    <col min="4" max="4" width="31.375" bestFit="1" customWidth="1"/>
    <col min="5" max="5" width="9.125" bestFit="1" customWidth="1"/>
    <col min="6" max="6" width="4" customWidth="1"/>
    <col min="7" max="7" width="15.125" bestFit="1" customWidth="1"/>
    <col min="8" max="8" width="15.375" bestFit="1" customWidth="1"/>
    <col min="9" max="9" width="40.375" bestFit="1" customWidth="1"/>
    <col min="10" max="10" width="16.25" bestFit="1" customWidth="1"/>
    <col min="11" max="11" width="4" customWidth="1"/>
  </cols>
  <sheetData>
    <row r="2" spans="2:11" ht="26.25">
      <c r="B2" s="63" t="s">
        <v>71</v>
      </c>
      <c r="C2" s="58"/>
      <c r="D2" s="58"/>
      <c r="E2" s="58"/>
      <c r="F2" s="58"/>
      <c r="G2" s="58"/>
      <c r="H2" s="58"/>
      <c r="I2" s="58"/>
      <c r="J2" s="58"/>
    </row>
    <row r="4" spans="2:11">
      <c r="B4" s="56" t="s">
        <v>72</v>
      </c>
      <c r="C4" s="58"/>
      <c r="D4" s="58"/>
      <c r="E4" s="58"/>
      <c r="F4" s="58"/>
      <c r="G4" s="58"/>
      <c r="H4" s="58"/>
      <c r="I4" s="58"/>
      <c r="J4" s="58"/>
    </row>
    <row r="5" spans="2:11">
      <c r="B5" s="58"/>
      <c r="C5" s="58"/>
      <c r="D5" s="58"/>
      <c r="E5" s="58"/>
      <c r="F5" s="58"/>
      <c r="G5" s="58"/>
      <c r="H5" s="58"/>
      <c r="I5" s="58"/>
      <c r="J5" s="58"/>
    </row>
    <row r="8" spans="2:11" ht="16.5" customHeight="1">
      <c r="B8" s="15" t="s">
        <v>73</v>
      </c>
      <c r="C8" s="16" t="s">
        <v>74</v>
      </c>
    </row>
    <row r="9" spans="2:11" ht="16.5" customHeight="1">
      <c r="B9" s="5" t="s">
        <v>76</v>
      </c>
      <c r="C9" s="17">
        <v>4.5</v>
      </c>
      <c r="G9" t="s">
        <v>75</v>
      </c>
    </row>
    <row r="10" spans="2:11" ht="16.5" customHeight="1">
      <c r="B10" s="5" t="s">
        <v>78</v>
      </c>
      <c r="C10" s="17">
        <v>1.2</v>
      </c>
      <c r="G10" t="s">
        <v>77</v>
      </c>
    </row>
    <row r="11" spans="2:11" ht="16.5" customHeight="1">
      <c r="B11" s="5" t="s">
        <v>80</v>
      </c>
      <c r="C11" s="17">
        <v>3.8</v>
      </c>
      <c r="G11" t="s">
        <v>79</v>
      </c>
    </row>
    <row r="12" spans="2:11">
      <c r="B12" s="5" t="s">
        <v>82</v>
      </c>
      <c r="C12" s="17">
        <v>12.5</v>
      </c>
      <c r="G12" t="s">
        <v>81</v>
      </c>
    </row>
    <row r="13" spans="2:11">
      <c r="B13" s="8" t="s">
        <v>83</v>
      </c>
      <c r="C13" s="18">
        <v>24</v>
      </c>
    </row>
    <row r="16" spans="2:11" ht="21.75">
      <c r="B16" s="60" t="s">
        <v>84</v>
      </c>
      <c r="C16" s="58"/>
      <c r="D16" s="58"/>
      <c r="E16" s="58"/>
      <c r="F16" s="58"/>
      <c r="G16" s="61" t="s">
        <v>85</v>
      </c>
      <c r="H16" s="58"/>
      <c r="I16" s="58"/>
      <c r="J16" s="58"/>
      <c r="K16" s="58"/>
    </row>
    <row r="18" spans="2:10">
      <c r="B18" t="s">
        <v>86</v>
      </c>
      <c r="C18" t="s">
        <v>87</v>
      </c>
      <c r="D18" t="s">
        <v>88</v>
      </c>
      <c r="E18" t="s">
        <v>28</v>
      </c>
      <c r="G18" t="s">
        <v>86</v>
      </c>
      <c r="H18" t="s">
        <v>87</v>
      </c>
      <c r="I18" t="s">
        <v>88</v>
      </c>
      <c r="J18" t="s">
        <v>66</v>
      </c>
    </row>
    <row r="19" spans="2:10">
      <c r="B19" t="s">
        <v>89</v>
      </c>
      <c r="C19" t="s">
        <v>90</v>
      </c>
      <c r="D19" t="s">
        <v>91</v>
      </c>
      <c r="E19" s="14">
        <f>SUM(C9:C13)</f>
        <v>46</v>
      </c>
      <c r="G19" t="s">
        <v>89</v>
      </c>
      <c r="H19" t="s">
        <v>92</v>
      </c>
      <c r="I19" t="s">
        <v>93</v>
      </c>
      <c r="J19" t="s">
        <v>94</v>
      </c>
    </row>
    <row r="20" spans="2:10">
      <c r="B20" t="s">
        <v>95</v>
      </c>
      <c r="C20" t="s">
        <v>96</v>
      </c>
      <c r="D20" t="s">
        <v>97</v>
      </c>
      <c r="E20" s="14">
        <f>AVERAGE(C9:C13)</f>
        <v>9.1999999999999993</v>
      </c>
      <c r="G20" t="s">
        <v>95</v>
      </c>
      <c r="H20" t="s">
        <v>98</v>
      </c>
      <c r="I20" t="s">
        <v>99</v>
      </c>
      <c r="J20" t="s">
        <v>94</v>
      </c>
    </row>
    <row r="23" spans="2:10" ht="21.75">
      <c r="B23" s="62" t="s">
        <v>100</v>
      </c>
      <c r="C23" s="58"/>
      <c r="D23" s="58"/>
      <c r="E23" s="58"/>
      <c r="F23" s="58"/>
      <c r="G23" s="58"/>
      <c r="H23" s="58"/>
      <c r="I23" s="58"/>
      <c r="J23" s="58"/>
    </row>
    <row r="25" spans="2:10">
      <c r="B25" s="19" t="s">
        <v>101</v>
      </c>
      <c r="C25" s="56" t="s">
        <v>102</v>
      </c>
      <c r="D25" s="56"/>
      <c r="E25" s="56"/>
      <c r="F25" s="56"/>
      <c r="G25" s="56"/>
      <c r="H25" s="56"/>
      <c r="I25" s="56"/>
      <c r="J25" s="56"/>
    </row>
    <row r="26" spans="2:10">
      <c r="B26" s="19" t="s">
        <v>101</v>
      </c>
      <c r="C26" s="56" t="s">
        <v>103</v>
      </c>
      <c r="D26" s="56"/>
      <c r="E26" s="56"/>
      <c r="F26" s="56"/>
      <c r="G26" s="56"/>
      <c r="H26" s="56"/>
      <c r="I26" s="56"/>
      <c r="J26" s="56"/>
    </row>
    <row r="27" spans="2:10">
      <c r="B27" s="19" t="s">
        <v>101</v>
      </c>
      <c r="C27" s="56" t="s">
        <v>104</v>
      </c>
      <c r="D27" s="56"/>
      <c r="E27" s="56"/>
      <c r="F27" s="56"/>
      <c r="G27" s="56"/>
      <c r="H27" s="56"/>
      <c r="I27" s="56"/>
      <c r="J27" s="56"/>
    </row>
    <row r="28" spans="2:10">
      <c r="B28" s="19" t="s">
        <v>105</v>
      </c>
      <c r="C28" s="56" t="s">
        <v>106</v>
      </c>
      <c r="D28" s="56"/>
      <c r="E28" s="56"/>
      <c r="F28" s="56"/>
      <c r="G28" s="56"/>
      <c r="H28" s="56"/>
      <c r="I28" s="56"/>
      <c r="J28" s="56"/>
    </row>
    <row r="29" spans="2:10">
      <c r="B29" s="19" t="s">
        <v>107</v>
      </c>
      <c r="C29" s="56" t="s">
        <v>108</v>
      </c>
      <c r="D29" s="56"/>
      <c r="E29" s="56"/>
      <c r="F29" s="56"/>
      <c r="G29" s="56"/>
      <c r="H29" s="56"/>
      <c r="I29" s="56"/>
      <c r="J29" s="56"/>
    </row>
    <row r="32" spans="2:10" ht="21.75">
      <c r="B32" s="57" t="s">
        <v>109</v>
      </c>
      <c r="C32" s="58"/>
      <c r="D32" s="58"/>
      <c r="E32" s="58"/>
      <c r="F32" s="58"/>
      <c r="G32" s="58"/>
      <c r="H32" s="58"/>
      <c r="I32" s="58"/>
      <c r="J32" s="58"/>
    </row>
    <row r="34" spans="2:10" ht="16.5" customHeight="1">
      <c r="B34" s="59" t="s">
        <v>110</v>
      </c>
      <c r="C34" s="59"/>
      <c r="D34" s="59"/>
      <c r="E34" s="59"/>
      <c r="F34" s="59"/>
      <c r="G34" s="59"/>
      <c r="H34" s="59"/>
      <c r="I34" s="59"/>
      <c r="J34" s="59"/>
    </row>
    <row r="35" spans="2:10">
      <c r="B35" s="59"/>
      <c r="C35" s="59"/>
      <c r="D35" s="59"/>
      <c r="E35" s="59"/>
      <c r="F35" s="59"/>
      <c r="G35" s="59"/>
      <c r="H35" s="59"/>
      <c r="I35" s="59"/>
      <c r="J35" s="59"/>
    </row>
  </sheetData>
  <mergeCells count="12">
    <mergeCell ref="B2:J2"/>
    <mergeCell ref="B4:J5"/>
    <mergeCell ref="B34:J35"/>
    <mergeCell ref="B16:F16"/>
    <mergeCell ref="G16:K16"/>
    <mergeCell ref="B23:J23"/>
    <mergeCell ref="C25:J25"/>
    <mergeCell ref="C26:J26"/>
    <mergeCell ref="C27:J27"/>
    <mergeCell ref="C28:J28"/>
    <mergeCell ref="C29:J29"/>
    <mergeCell ref="B32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8"/>
  <sheetViews>
    <sheetView workbookViewId="0">
      <selection activeCell="B28" sqref="B28:J28"/>
    </sheetView>
  </sheetViews>
  <sheetFormatPr defaultRowHeight="16.5"/>
  <cols>
    <col min="2" max="2" width="10.125" bestFit="1" customWidth="1"/>
    <col min="3" max="3" width="12.125" bestFit="1" customWidth="1"/>
    <col min="4" max="4" width="9.375" bestFit="1" customWidth="1"/>
    <col min="5" max="6" width="12.125" bestFit="1" customWidth="1"/>
    <col min="7" max="7" width="10.125" bestFit="1" customWidth="1"/>
    <col min="8" max="8" width="15.125" bestFit="1" customWidth="1"/>
    <col min="9" max="9" width="9.25" bestFit="1" customWidth="1"/>
    <col min="10" max="10" width="12.125" bestFit="1" customWidth="1"/>
    <col min="11" max="11" width="5" customWidth="1"/>
  </cols>
  <sheetData>
    <row r="2" spans="2:11" ht="26.25">
      <c r="B2" s="65" t="s">
        <v>21</v>
      </c>
      <c r="C2" s="58"/>
      <c r="D2" s="58"/>
      <c r="E2" s="58"/>
      <c r="F2" s="58"/>
      <c r="G2" s="58"/>
      <c r="H2" s="58"/>
      <c r="I2" s="58"/>
      <c r="J2" s="58"/>
    </row>
    <row r="4" spans="2:11">
      <c r="B4" s="56" t="s">
        <v>22</v>
      </c>
      <c r="C4" s="58"/>
      <c r="D4" s="58"/>
      <c r="E4" s="58"/>
      <c r="F4" s="58"/>
      <c r="G4" s="58"/>
      <c r="H4" s="58"/>
      <c r="I4" s="58"/>
      <c r="J4" s="58"/>
    </row>
    <row r="7" spans="2:11" ht="21.75">
      <c r="B7" s="61" t="s">
        <v>23</v>
      </c>
      <c r="C7" s="58"/>
      <c r="D7" s="58"/>
      <c r="E7" s="58"/>
      <c r="F7" s="58"/>
      <c r="G7" s="60" t="s">
        <v>24</v>
      </c>
      <c r="H7" s="58"/>
      <c r="I7" s="58"/>
      <c r="J7" s="58"/>
      <c r="K7" s="58"/>
    </row>
    <row r="9" spans="2:11">
      <c r="B9" s="2" t="s">
        <v>25</v>
      </c>
      <c r="C9" s="3" t="s">
        <v>26</v>
      </c>
      <c r="D9" s="3" t="s">
        <v>27</v>
      </c>
      <c r="E9" s="4" t="s">
        <v>28</v>
      </c>
      <c r="G9" s="2" t="s">
        <v>25</v>
      </c>
      <c r="H9" s="3" t="s">
        <v>29</v>
      </c>
      <c r="I9" s="3" t="s">
        <v>27</v>
      </c>
      <c r="J9" s="4" t="s">
        <v>28</v>
      </c>
    </row>
    <row r="10" spans="2:11">
      <c r="B10" s="42" t="s">
        <v>0</v>
      </c>
      <c r="C10" s="6" t="s">
        <v>30</v>
      </c>
      <c r="D10" s="6" t="s">
        <v>31</v>
      </c>
      <c r="E10" s="7">
        <v>15</v>
      </c>
      <c r="G10" s="42" t="s">
        <v>4</v>
      </c>
      <c r="H10" s="6" t="s">
        <v>32</v>
      </c>
      <c r="I10" s="6" t="s">
        <v>33</v>
      </c>
      <c r="J10" s="7" t="s">
        <v>34</v>
      </c>
    </row>
    <row r="11" spans="2:11">
      <c r="B11" s="42" t="s">
        <v>35</v>
      </c>
      <c r="C11" s="6" t="s">
        <v>36</v>
      </c>
      <c r="D11" s="6" t="s">
        <v>37</v>
      </c>
      <c r="E11" s="7">
        <v>5</v>
      </c>
      <c r="G11" s="42" t="s">
        <v>38</v>
      </c>
      <c r="H11" s="6" t="s">
        <v>39</v>
      </c>
      <c r="I11" s="6" t="s">
        <v>40</v>
      </c>
      <c r="J11" s="7" t="s">
        <v>41</v>
      </c>
    </row>
    <row r="12" spans="2:11">
      <c r="B12" s="42" t="s">
        <v>42</v>
      </c>
      <c r="C12" s="6" t="s">
        <v>43</v>
      </c>
      <c r="D12" s="6" t="s">
        <v>44</v>
      </c>
      <c r="E12" s="7">
        <v>50</v>
      </c>
      <c r="G12" s="42" t="s">
        <v>45</v>
      </c>
      <c r="H12" s="6" t="s">
        <v>46</v>
      </c>
      <c r="I12" s="6" t="s">
        <v>47</v>
      </c>
      <c r="J12" s="7" t="s">
        <v>34</v>
      </c>
    </row>
    <row r="13" spans="2:11">
      <c r="B13" s="42" t="s">
        <v>48</v>
      </c>
      <c r="C13" s="6" t="s">
        <v>49</v>
      </c>
      <c r="D13" s="6" t="s">
        <v>50</v>
      </c>
      <c r="E13" s="7">
        <v>2</v>
      </c>
      <c r="G13" s="42" t="s">
        <v>51</v>
      </c>
      <c r="H13" s="6" t="s">
        <v>52</v>
      </c>
      <c r="I13" s="6" t="s">
        <v>53</v>
      </c>
      <c r="J13" s="7" t="s">
        <v>41</v>
      </c>
    </row>
    <row r="14" spans="2:11">
      <c r="B14" s="42" t="s">
        <v>54</v>
      </c>
      <c r="C14" s="6" t="s">
        <v>55</v>
      </c>
      <c r="D14" s="6" t="s">
        <v>56</v>
      </c>
      <c r="E14" s="7">
        <v>100</v>
      </c>
      <c r="G14" s="42" t="s">
        <v>57</v>
      </c>
      <c r="H14" s="6" t="s">
        <v>58</v>
      </c>
      <c r="I14" s="6" t="s">
        <v>59</v>
      </c>
      <c r="J14" s="7" t="s">
        <v>41</v>
      </c>
    </row>
    <row r="15" spans="2:11">
      <c r="B15" s="43" t="s">
        <v>60</v>
      </c>
      <c r="C15" s="9" t="s">
        <v>61</v>
      </c>
      <c r="D15" s="9" t="s">
        <v>62</v>
      </c>
      <c r="E15" s="10">
        <v>20</v>
      </c>
      <c r="G15" s="43" t="s">
        <v>63</v>
      </c>
      <c r="H15" s="9" t="s">
        <v>64</v>
      </c>
      <c r="I15" s="9" t="s">
        <v>65</v>
      </c>
      <c r="J15" s="10" t="s">
        <v>41</v>
      </c>
    </row>
    <row r="18" spans="2:10" ht="21.75">
      <c r="B18" s="57" t="s">
        <v>66</v>
      </c>
      <c r="C18" s="58"/>
      <c r="D18" s="58"/>
      <c r="E18" s="58"/>
      <c r="F18" s="58"/>
      <c r="G18" s="58"/>
      <c r="H18" s="58"/>
      <c r="I18" s="58"/>
      <c r="J18" s="58"/>
    </row>
    <row r="20" spans="2:10">
      <c r="B20" s="11" t="s">
        <v>67</v>
      </c>
      <c r="C20" s="12" t="s">
        <v>25</v>
      </c>
      <c r="D20" s="12" t="s">
        <v>68</v>
      </c>
      <c r="E20" s="12" t="s">
        <v>69</v>
      </c>
      <c r="F20" s="13" t="s">
        <v>28</v>
      </c>
    </row>
    <row r="21" spans="2:10">
      <c r="B21" s="5">
        <v>12</v>
      </c>
      <c r="C21" s="44" t="s">
        <v>0</v>
      </c>
      <c r="D21" s="6">
        <v>3</v>
      </c>
      <c r="E21" s="6">
        <f>B21+D21</f>
        <v>15</v>
      </c>
      <c r="F21" s="7">
        <f>E21</f>
        <v>15</v>
      </c>
    </row>
    <row r="22" spans="2:10">
      <c r="B22" s="5">
        <v>12</v>
      </c>
      <c r="C22" s="44" t="s">
        <v>35</v>
      </c>
      <c r="D22" s="6">
        <v>3</v>
      </c>
      <c r="E22" s="6">
        <f>B22-D22</f>
        <v>9</v>
      </c>
      <c r="F22" s="7">
        <f>E22</f>
        <v>9</v>
      </c>
    </row>
    <row r="23" spans="2:10">
      <c r="B23" s="5">
        <v>12</v>
      </c>
      <c r="C23" s="44" t="s">
        <v>42</v>
      </c>
      <c r="D23" s="6">
        <v>3</v>
      </c>
      <c r="E23" s="6">
        <f>B23*D23</f>
        <v>36</v>
      </c>
      <c r="F23" s="7">
        <f>E23</f>
        <v>36</v>
      </c>
    </row>
    <row r="24" spans="2:10">
      <c r="B24" s="5">
        <v>12</v>
      </c>
      <c r="C24" s="44" t="s">
        <v>48</v>
      </c>
      <c r="D24" s="6">
        <v>3</v>
      </c>
      <c r="E24" s="6">
        <f>B24/D24</f>
        <v>4</v>
      </c>
      <c r="F24" s="7">
        <f>E24</f>
        <v>4</v>
      </c>
    </row>
    <row r="25" spans="2:10">
      <c r="B25" s="8">
        <v>12</v>
      </c>
      <c r="C25" s="45" t="s">
        <v>38</v>
      </c>
      <c r="D25" s="9">
        <v>3</v>
      </c>
      <c r="E25" s="9" t="b">
        <f>B25&gt;D25</f>
        <v>1</v>
      </c>
      <c r="F25" s="10" t="b">
        <f>E25</f>
        <v>1</v>
      </c>
    </row>
    <row r="28" spans="2:10">
      <c r="B28" s="64" t="s">
        <v>70</v>
      </c>
      <c r="C28" s="58"/>
      <c r="D28" s="58"/>
      <c r="E28" s="58"/>
      <c r="F28" s="58"/>
      <c r="G28" s="58"/>
      <c r="H28" s="58"/>
      <c r="I28" s="58"/>
      <c r="J28" s="58"/>
    </row>
  </sheetData>
  <mergeCells count="6">
    <mergeCell ref="B28:J28"/>
    <mergeCell ref="B2:J2"/>
    <mergeCell ref="B4:J4"/>
    <mergeCell ref="B7:F7"/>
    <mergeCell ref="G7:K7"/>
    <mergeCell ref="B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Referências</vt:lpstr>
      <vt:lpstr>Intervalos</vt:lpstr>
      <vt:lpstr>Gestão de Nomes</vt:lpstr>
      <vt:lpstr>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Cerejo Lopes</dc:creator>
  <cp:lastModifiedBy>Cerejo Lopes</cp:lastModifiedBy>
  <dcterms:created xsi:type="dcterms:W3CDTF">2026-08-11T16:24:49Z</dcterms:created>
  <dcterms:modified xsi:type="dcterms:W3CDTF">2026-08-13T07:53:26Z</dcterms:modified>
</cp:coreProperties>
</file>