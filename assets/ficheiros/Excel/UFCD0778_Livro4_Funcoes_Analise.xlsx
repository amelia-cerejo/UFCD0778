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tos\Codex\Projetos-Codex\UFCD0778\assets\ficheiros\Excel\"/>
    </mc:Choice>
  </mc:AlternateContent>
  <xr:revisionPtr revIDLastSave="0" documentId="13_ncr:1_{6E69AC18-F2BB-446C-B04B-82E4C20F257A}" xr6:coauthVersionLast="47" xr6:coauthVersionMax="47" xr10:uidLastSave="{00000000-0000-0000-0000-000000000000}"/>
  <bookViews>
    <workbookView xWindow="-28920" yWindow="465" windowWidth="29040" windowHeight="15720" activeTab="2" xr2:uid="{00000000-000D-0000-FFFF-FFFF00000000}"/>
  </bookViews>
  <sheets>
    <sheet name="INSTRUÇÕES" sheetId="1" r:id="rId1"/>
    <sheet name="BASE_VENDAS" sheetId="2" r:id="rId2"/>
    <sheet name="RESUMO_FUNÇÕES" sheetId="3" r:id="rId3"/>
    <sheet name="DIAGNÓSTICO" sheetId="4" r:id="rId4"/>
    <sheet name="EMPRÉSTIMO" sheetId="5" r:id="rId5"/>
    <sheet name="POUPANÇA" sheetId="6" r:id="rId6"/>
    <sheet name="CENÁRIOS" sheetId="7" r:id="rId7"/>
    <sheet name="CONCLUSÕES" sheetId="8" r:id="rId8"/>
  </sheets>
  <calcPr calcId="0" iterateDelta="1E-4"/>
</workbook>
</file>

<file path=xl/sharedStrings.xml><?xml version="1.0" encoding="utf-8"?>
<sst xmlns="http://schemas.openxmlformats.org/spreadsheetml/2006/main" count="606" uniqueCount="272">
  <si>
    <t>Livro 4 — Funções e análise</t>
  </si>
  <si>
    <t>UFCD 0778 · TI07 e TI08 · ficheiro-base não resolvido</t>
  </si>
  <si>
    <t>Percurso de trabalho</t>
  </si>
  <si>
    <t>TI07</t>
  </si>
  <si>
    <t>Guardar uma cópia com o nome 2026-MM_TI07_Funcoes_Analise_PrimeiroNome.xlsx.</t>
  </si>
  <si>
    <t>Analisar BASE_VENDAS e completar RESUMO_FUNÇÕES e DIAGNÓSTICO.</t>
  </si>
  <si>
    <t>Usar SOMA, MÉDIA, MÍNIMO, MÁXIMO, CONTAR, CONTARA e CONTAR.SE; copiar funções e validar os resultados.</t>
  </si>
  <si>
    <t>TI08</t>
  </si>
  <si>
    <t>Preservar a TI07 e criar 2026-MM_TI08_Funcoes_Analise_PrimeiroNome.xlsx.</t>
  </si>
  <si>
    <t>Completar EMPRÉSTIMO, POUPANÇA e CENÁRIOS com PGTO e VF.</t>
  </si>
  <si>
    <t>Registar conclusões e iniciar separadamente o ficheiro do Projeto Final indicado no enunciado.</t>
  </si>
  <si>
    <t>Ambas</t>
  </si>
  <si>
    <t>As células amarelas são áreas de trabalho. Utilizar referências de células e confirmar taxa e prazo na mesma periodicidade.</t>
  </si>
  <si>
    <t>O que este livro exige</t>
  </si>
  <si>
    <t>1</t>
  </si>
  <si>
    <t>Escolher a função adequada, sem copiar uma resposta pronta.</t>
  </si>
  <si>
    <t>2</t>
  </si>
  <si>
    <t>Selecionar intervalos completos e critérios coerentes.</t>
  </si>
  <si>
    <t>3</t>
  </si>
  <si>
    <t>Comparar resultados com os dados e detetar valores excecionais.</t>
  </si>
  <si>
    <t>4</t>
  </si>
  <si>
    <t>Alterar uma variável de cada vez nos cenários financeiros.</t>
  </si>
  <si>
    <t>5</t>
  </si>
  <si>
    <t>Interpretar resultados, sinais financeiros e efeitos da taxa e do prazo.</t>
  </si>
  <si>
    <t>Não preencher este livro com valores fixos quando é pedida uma função. O objetivo é que os resultados se atualizem se os dados forem alterados.</t>
  </si>
  <si>
    <t>TI07 — Base de vendas</t>
  </si>
  <si>
    <t>Sessenta registos para análise estatística e contagens</t>
  </si>
  <si>
    <t>Antes de calcular, observe os campos vazios, as categorias, as equipas e o valor excecional assinalado na observação. Não altere a base para forçar um resultado.</t>
  </si>
  <si>
    <t>ID</t>
  </si>
  <si>
    <t>Data</t>
  </si>
  <si>
    <t>Região</t>
  </si>
  <si>
    <t>Equipa</t>
  </si>
  <si>
    <t>Categoria</t>
  </si>
  <si>
    <t>Produto</t>
  </si>
  <si>
    <t>Unidades</t>
  </si>
  <si>
    <t>Preço unitário</t>
  </si>
  <si>
    <t>Valor da venda</t>
  </si>
  <si>
    <t>Meta atingida?</t>
  </si>
  <si>
    <t>Observação</t>
  </si>
  <si>
    <t>V001</t>
  </si>
  <si>
    <t>Norte</t>
  </si>
  <si>
    <t>Alfa</t>
  </si>
  <si>
    <t>Papelaria</t>
  </si>
  <si>
    <t>Caderno A4</t>
  </si>
  <si>
    <t>Não</t>
  </si>
  <si>
    <t>Campanha</t>
  </si>
  <si>
    <t>V002</t>
  </si>
  <si>
    <t>Centro</t>
  </si>
  <si>
    <t>Beta</t>
  </si>
  <si>
    <t>Escrita</t>
  </si>
  <si>
    <t>Caneta gel</t>
  </si>
  <si>
    <t>V003</t>
  </si>
  <si>
    <t>Lisboa</t>
  </si>
  <si>
    <t>Gama</t>
  </si>
  <si>
    <t>Arquivo</t>
  </si>
  <si>
    <t>Pasta arquivo</t>
  </si>
  <si>
    <t>V004</t>
  </si>
  <si>
    <t>Sul</t>
  </si>
  <si>
    <t>Equipamento</t>
  </si>
  <si>
    <t>Agrafador</t>
  </si>
  <si>
    <t>Sim</t>
  </si>
  <si>
    <t>V005</t>
  </si>
  <si>
    <t>Bloco notas</t>
  </si>
  <si>
    <t>V006</t>
  </si>
  <si>
    <t>Marcador</t>
  </si>
  <si>
    <t>V007</t>
  </si>
  <si>
    <t>Dossier</t>
  </si>
  <si>
    <t>V008</t>
  </si>
  <si>
    <t>Calculadora</t>
  </si>
  <si>
    <t>V009</t>
  </si>
  <si>
    <t>Resma A4</t>
  </si>
  <si>
    <t>V010</t>
  </si>
  <si>
    <t>Lápis HB</t>
  </si>
  <si>
    <t>V011</t>
  </si>
  <si>
    <t>Envelopes</t>
  </si>
  <si>
    <t>V012</t>
  </si>
  <si>
    <t>Destruidora</t>
  </si>
  <si>
    <t>V013</t>
  </si>
  <si>
    <t>V014</t>
  </si>
  <si>
    <t>V015</t>
  </si>
  <si>
    <t>V016</t>
  </si>
  <si>
    <t>V017</t>
  </si>
  <si>
    <t>V018</t>
  </si>
  <si>
    <t>V019</t>
  </si>
  <si>
    <t>V020</t>
  </si>
  <si>
    <t>V021</t>
  </si>
  <si>
    <t>V022</t>
  </si>
  <si>
    <t>V023</t>
  </si>
  <si>
    <t>V024</t>
  </si>
  <si>
    <t>V025</t>
  </si>
  <si>
    <t>V026</t>
  </si>
  <si>
    <t>V027</t>
  </si>
  <si>
    <t>V028</t>
  </si>
  <si>
    <t>V029</t>
  </si>
  <si>
    <t>V030</t>
  </si>
  <si>
    <t>V031</t>
  </si>
  <si>
    <t>V032</t>
  </si>
  <si>
    <t>V033</t>
  </si>
  <si>
    <t>V034</t>
  </si>
  <si>
    <t>V035</t>
  </si>
  <si>
    <t>V036</t>
  </si>
  <si>
    <t>V037</t>
  </si>
  <si>
    <t>V038</t>
  </si>
  <si>
    <t>V039</t>
  </si>
  <si>
    <t>V040</t>
  </si>
  <si>
    <t>V041</t>
  </si>
  <si>
    <t>V042</t>
  </si>
  <si>
    <t>V043</t>
  </si>
  <si>
    <t>V044</t>
  </si>
  <si>
    <t>V045</t>
  </si>
  <si>
    <t>V046</t>
  </si>
  <si>
    <t>V047</t>
  </si>
  <si>
    <t>V048</t>
  </si>
  <si>
    <t>V049</t>
  </si>
  <si>
    <t>V050</t>
  </si>
  <si>
    <t>V051</t>
  </si>
  <si>
    <t>V052</t>
  </si>
  <si>
    <t>V053</t>
  </si>
  <si>
    <t>V054</t>
  </si>
  <si>
    <t>Venda excecional</t>
  </si>
  <si>
    <t>V055</t>
  </si>
  <si>
    <t>V056</t>
  </si>
  <si>
    <t>V057</t>
  </si>
  <si>
    <t>V058</t>
  </si>
  <si>
    <t>V059</t>
  </si>
  <si>
    <t>V060</t>
  </si>
  <si>
    <t>Análise inicial: identifique o registo excecional, a célula numérica vazia e as observações vazias. Antecipe como estes elementos afetam MÉDIA, CONTAR e CONTARA.</t>
  </si>
  <si>
    <t>TI07 — Resumo de funções</t>
  </si>
  <si>
    <t>Construir, copiar e interpretar funções a partir da BASE_VENDAS</t>
  </si>
  <si>
    <t>Nas áreas amarelas, escreva a fórmula, confirme o resultado e registe uma interpretação curta. Utilize o assistente numa proposta e a barra de fórmulas noutra.</t>
  </si>
  <si>
    <t>N.º</t>
  </si>
  <si>
    <t>Questão</t>
  </si>
  <si>
    <t>Função prevista</t>
  </si>
  <si>
    <t>Intervalo/critério</t>
  </si>
  <si>
    <t>Fórmula</t>
  </si>
  <si>
    <t>Resultado</t>
  </si>
  <si>
    <t>Formato</t>
  </si>
  <si>
    <t>Validação manual</t>
  </si>
  <si>
    <t>Interpretação</t>
  </si>
  <si>
    <t>Método usado</t>
  </si>
  <si>
    <t>Valor total das vendas</t>
  </si>
  <si>
    <t>SOMA</t>
  </si>
  <si>
    <t>Valor médio das vendas</t>
  </si>
  <si>
    <t>MÉDIA</t>
  </si>
  <si>
    <t>Venda de menor valor</t>
  </si>
  <si>
    <t>MÍNIMO</t>
  </si>
  <si>
    <t>Venda de maior valor</t>
  </si>
  <si>
    <t>MÁXIMO</t>
  </si>
  <si>
    <t>Total de unidades registadas</t>
  </si>
  <si>
    <t>Média das unidades registadas</t>
  </si>
  <si>
    <t>Quantidade de valores numéricos em Unidades</t>
  </si>
  <si>
    <t>CONTAR</t>
  </si>
  <si>
    <t>Quantidade de nomes de produto preenchidos</t>
  </si>
  <si>
    <t>CONTARA</t>
  </si>
  <si>
    <t>Vendas que atingiram a meta</t>
  </si>
  <si>
    <t>CONTAR.SE</t>
  </si>
  <si>
    <t>Vendas superiores a 500 €</t>
  </si>
  <si>
    <t>N.º de vendas</t>
  </si>
  <si>
    <t>Valor total</t>
  </si>
  <si>
    <t>Valor médio</t>
  </si>
  <si>
    <t>Menor venda</t>
  </si>
  <si>
    <t>Maior venda</t>
  </si>
  <si>
    <t>N.º de registos</t>
  </si>
  <si>
    <t>Meta atingida</t>
  </si>
  <si>
    <t>Desafio: compare a média global com uma segunda média sem a venda excecional. Não apague o registo. Registe os dois valores e explique por que motivo a média se alterou.</t>
  </si>
  <si>
    <t>TI07 — Diagnóstico de funções</t>
  </si>
  <si>
    <t>Detetar intervalos incompletos, função inadequada e critérios incorretos</t>
  </si>
  <si>
    <t>As fórmulas apresentadas são exemplos em texto. Explique o problema, proponha a correção e confirme o resultado com a BASE_VENDAS.</t>
  </si>
  <si>
    <t>Caso</t>
  </si>
  <si>
    <t>Objetivo</t>
  </si>
  <si>
    <t>Fórmula apresentada</t>
  </si>
  <si>
    <t>Problema detetado</t>
  </si>
  <si>
    <t>Fórmula corrigida</t>
  </si>
  <si>
    <t>Como validou</t>
  </si>
  <si>
    <t>Conclusão</t>
  </si>
  <si>
    <t>Total de todas as vendas</t>
  </si>
  <si>
    <t>=SOMA(BASE_VENDAS!I8:I66)</t>
  </si>
  <si>
    <t>Média das unidades</t>
  </si>
  <si>
    <t>=SOMA(BASE_VENDAS!G8:G67)</t>
  </si>
  <si>
    <t>Contar produtos preenchidos</t>
  </si>
  <si>
    <t>=CONTAR(BASE_VENDAS!F8:F67)</t>
  </si>
  <si>
    <t>Contar metas atingidas</t>
  </si>
  <si>
    <t>=CONTAR.SE(BASE_VENDAS!J8:J67;"Não")</t>
  </si>
  <si>
    <t>Maior valor de venda</t>
  </si>
  <si>
    <t>=MÍNIMO(BASE_VENDAS!I8:I67)</t>
  </si>
  <si>
    <t>=CONTAR.SE(BASE_VENDAS!I8:I67;"500")</t>
  </si>
  <si>
    <t>Contar observações preenchidas</t>
  </si>
  <si>
    <t>=CONTAR(BASE_VENDAS!K8:K67)</t>
  </si>
  <si>
    <t>Síntese: indique a diferença entre CONTAR e CONTARA, escolha dois erros que poderiam produzir um resultado aparentemente plausível e explique por que motivo a validação manual continua necessária.</t>
  </si>
  <si>
    <t>TI08 — Simulação de empréstimo</t>
  </si>
  <si>
    <t>Aplicar PGTO com referências de células e periodicidade compatível</t>
  </si>
  <si>
    <t>Calcule primeiro a taxa periódica e o número total de períodos. Depois aplique PGTO. Mantenha os pressupostos fornecidos e interprete o sinal do resultado.</t>
  </si>
  <si>
    <t>Pressuposto</t>
  </si>
  <si>
    <t>Valor</t>
  </si>
  <si>
    <t>Unidade</t>
  </si>
  <si>
    <t>Cálculo</t>
  </si>
  <si>
    <t>Capital</t>
  </si>
  <si>
    <t>€</t>
  </si>
  <si>
    <t>Taxa por período</t>
  </si>
  <si>
    <t>Taxa anual</t>
  </si>
  <si>
    <t>%</t>
  </si>
  <si>
    <t>N.º total de períodos</t>
  </si>
  <si>
    <t>Prazo</t>
  </si>
  <si>
    <t>anos</t>
  </si>
  <si>
    <t>Prestação periódica (PGTO)</t>
  </si>
  <si>
    <t>Pagamentos por ano</t>
  </si>
  <si>
    <t>mensal</t>
  </si>
  <si>
    <t>Custo total aproximado</t>
  </si>
  <si>
    <t>Valor residual</t>
  </si>
  <si>
    <t>Interpretação: explique o sinal da prestação, confirme se taxa e períodos têm a mesma periodicidade e descreva o que aconteceria à prestação se apenas o prazo aumentasse.</t>
  </si>
  <si>
    <t>TI08 — Simulação de poupança</t>
  </si>
  <si>
    <t>Aplicar VF a depósitos periódicos regulares</t>
  </si>
  <si>
    <t>Calcule o valor futuro com depósitos no final de cada período. Utilize sinais coerentes para representar entradas e saídas de dinheiro.</t>
  </si>
  <si>
    <t>Capital inicial</t>
  </si>
  <si>
    <t>Depósito mensal</t>
  </si>
  <si>
    <t>Valor futuro (VF)</t>
  </si>
  <si>
    <t>Total depositado sem juros</t>
  </si>
  <si>
    <t>Depósitos por ano</t>
  </si>
  <si>
    <t>Momento do depósito</t>
  </si>
  <si>
    <t>fim do período</t>
  </si>
  <si>
    <t>Interpretação: compare o valor futuro com o total depositado, explique o sinal dos fluxos e indique o efeito esperado de aumentar apenas a taxa anual.</t>
  </si>
  <si>
    <t>TI08 — Comparação de cenários</t>
  </si>
  <si>
    <t>Alterar uma variável de cada vez e comparar PGTO e VF</t>
  </si>
  <si>
    <t>O Cenário Base replica os pressupostos das folhas anteriores. Em cada cenário alternativo, altere apenas a variável identificada. Construa as fórmulas usando referências de células.</t>
  </si>
  <si>
    <t>Cenário</t>
  </si>
  <si>
    <t>Tipo</t>
  </si>
  <si>
    <t>Depósito/Capital</t>
  </si>
  <si>
    <t>Prazo (anos)</t>
  </si>
  <si>
    <t>Periodicidade</t>
  </si>
  <si>
    <t>Variável alterada</t>
  </si>
  <si>
    <t>E1 — Base</t>
  </si>
  <si>
    <t>Empréstimo</t>
  </si>
  <si>
    <t>—</t>
  </si>
  <si>
    <t>E2 — Taxa maior</t>
  </si>
  <si>
    <t>Taxa</t>
  </si>
  <si>
    <t>E3 — Prazo maior</t>
  </si>
  <si>
    <t>P1 — Base</t>
  </si>
  <si>
    <t>Poupança</t>
  </si>
  <si>
    <t>P2 — Depósito maior</t>
  </si>
  <si>
    <t>Depósito</t>
  </si>
  <si>
    <t>P3 — Prazo maior</t>
  </si>
  <si>
    <t>Conclusão comparativa: identifique o cenário de empréstimo com menor prestação e o cenário de poupança com maior valor futuro. Explique a influência da taxa, do prazo e do capital/depósito sem confundir prestação menor com custo total menor.</t>
  </si>
  <si>
    <t>Conclusões e verificação final</t>
  </si>
  <si>
    <t>Síntese das TI07 e TI08 e preparação do registo no Moodle</t>
  </si>
  <si>
    <t>Conclusões a registar</t>
  </si>
  <si>
    <t>Explique o que calculam duas funções estatísticas utilizadas.</t>
  </si>
  <si>
    <t>Interprete um resultado obtido na análise de vendas.</t>
  </si>
  <si>
    <t>Explique a diferença entre CONTAR e CONTARA.</t>
  </si>
  <si>
    <t>Explique por que motivo a venda excecional distorce a média.</t>
  </si>
  <si>
    <t>Registe a principal conclusão dos cenários de empréstimo.</t>
  </si>
  <si>
    <t>6</t>
  </si>
  <si>
    <t>Registe a principal conclusão dos cenários de poupança.</t>
  </si>
  <si>
    <t>7</t>
  </si>
  <si>
    <t>Explique os sinais positivo/negativo nas funções financeiras.</t>
  </si>
  <si>
    <t>8</t>
  </si>
  <si>
    <t>Indique o cuidado necessário com taxa e periodicidade.</t>
  </si>
  <si>
    <t>9</t>
  </si>
  <si>
    <t>Descreva brevemente o tema e os dados escolhidos para o Projeto Final.</t>
  </si>
  <si>
    <t>10</t>
  </si>
  <si>
    <t>Registe uma dúvida ou aspeto a confirmar.</t>
  </si>
  <si>
    <t>Verificação</t>
  </si>
  <si>
    <t>Concluído?</t>
  </si>
  <si>
    <t>TI07 preservada antes de iniciar a TI08</t>
  </si>
  <si>
    <t>SOMA, MÉDIA, MÍNIMO e MÁXIMO aplicadas</t>
  </si>
  <si>
    <t>CONTAR, CONTARA e CONTAR.SE aplicadas</t>
  </si>
  <si>
    <t>Funções copiadas e resultados validados</t>
  </si>
  <si>
    <t>Erros do diagnóstico corrigidos</t>
  </si>
  <si>
    <t>PGTO e VF aplicadas com referências</t>
  </si>
  <si>
    <t>Taxa e prazo com periodicidade compatível</t>
  </si>
  <si>
    <t>Três cenários comparados</t>
  </si>
  <si>
    <t>Sinais financeiros explicados</t>
  </si>
  <si>
    <t>Projeto Final iniciado em ficheiro separado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</si>
</sst>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0.000%"/>
  </numFmts>
  <fonts count="6">
    <font>
      <sz val="11"/>
      <name val="Carlito"/>
    </font>
    <font>
      <b/>
      <sz val="18"/>
      <color rgb="FFFFFFFF"/>
      <name val="Aptos Display"/>
    </font>
    <font>
      <i/>
      <sz val="10"/>
      <color rgb="FF263238"/>
      <name val="Aptos"/>
    </font>
    <font>
      <b/>
      <sz val="11"/>
      <color rgb="FFFFFFFF"/>
      <name val="Aptos"/>
    </font>
    <font>
      <sz val="10"/>
      <color rgb="FF263238"/>
      <name val="Aptos"/>
    </font>
    <font>
      <b/>
      <sz val="10"/>
      <color rgb="FFFFFFFF"/>
      <name val="Aptos"/>
    </font>
  </fonts>
  <fills count="9">
    <fill>
      <patternFill patternType="none"/>
    </fill>
    <fill>
      <patternFill patternType="gray125"/>
    </fill>
    <fill>
      <patternFill patternType="solid">
        <fgColor rgb="FF185C37"/>
      </patternFill>
    </fill>
    <fill>
      <patternFill patternType="solid">
        <fgColor rgb="FFE2F0D9"/>
      </patternFill>
    </fill>
    <fill>
      <patternFill patternType="solid">
        <fgColor rgb="FF217346"/>
      </patternFill>
    </fill>
    <fill>
      <patternFill patternType="solid">
        <fgColor rgb="FFF3F8F4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 style="thin">
        <color rgb="FFC9D8CF"/>
      </left>
      <right/>
      <top style="thin">
        <color rgb="FFC9D8CF"/>
      </top>
      <bottom/>
      <diagonal/>
    </border>
    <border>
      <left/>
      <right/>
      <top style="thin">
        <color rgb="FFC9D8CF"/>
      </top>
      <bottom/>
      <diagonal/>
    </border>
    <border>
      <left/>
      <right style="thin">
        <color rgb="FFC9D8CF"/>
      </right>
      <top style="thin">
        <color rgb="FFC9D8CF"/>
      </top>
      <bottom/>
      <diagonal/>
    </border>
    <border>
      <left style="thin">
        <color rgb="FFC9D8CF"/>
      </left>
      <right/>
      <top/>
      <bottom/>
      <diagonal/>
    </border>
    <border>
      <left/>
      <right style="thin">
        <color rgb="FFC9D8CF"/>
      </right>
      <top/>
      <bottom/>
      <diagonal/>
    </border>
    <border>
      <left style="thin">
        <color rgb="FFC9D8CF"/>
      </left>
      <right/>
      <top/>
      <bottom style="thin">
        <color rgb="FFC9D8CF"/>
      </bottom>
      <diagonal/>
    </border>
    <border>
      <left/>
      <right/>
      <top/>
      <bottom style="thin">
        <color rgb="FFC9D8CF"/>
      </bottom>
      <diagonal/>
    </border>
    <border>
      <left/>
      <right style="thin">
        <color rgb="FFC9D8CF"/>
      </right>
      <top/>
      <bottom style="thin">
        <color rgb="FFC9D8CF"/>
      </bottom>
      <diagonal/>
    </border>
    <border>
      <left style="thin">
        <color rgb="FFC9D8CF"/>
      </left>
      <right style="thin">
        <color rgb="FFC9D8CF"/>
      </right>
      <top style="thin">
        <color rgb="FFC9D8CF"/>
      </top>
      <bottom style="thin">
        <color rgb="FFC9D8C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5" borderId="1" xfId="0" applyFont="1" applyFill="1" applyBorder="1" applyAlignment="1">
      <alignment vertical="top" wrapText="1"/>
    </xf>
    <xf numFmtId="0" fontId="4" fillId="5" borderId="4" xfId="0" applyFont="1" applyFill="1" applyBorder="1" applyAlignment="1">
      <alignment vertical="top" wrapText="1"/>
    </xf>
    <xf numFmtId="0" fontId="4" fillId="5" borderId="6" xfId="0" applyFont="1" applyFill="1" applyBorder="1" applyAlignment="1">
      <alignment vertical="top" wrapText="1"/>
    </xf>
    <xf numFmtId="0" fontId="4" fillId="6" borderId="9" xfId="0" applyFont="1" applyFill="1" applyBorder="1" applyAlignment="1">
      <alignment vertical="center" wrapText="1"/>
    </xf>
    <xf numFmtId="0" fontId="5" fillId="4" borderId="9" xfId="0" applyFont="1" applyFill="1" applyBorder="1" applyAlignment="1">
      <alignment horizontal="center" vertical="center" wrapText="1"/>
    </xf>
    <xf numFmtId="14" fontId="4" fillId="6" borderId="9" xfId="0" applyNumberFormat="1" applyFont="1" applyFill="1" applyBorder="1" applyAlignment="1">
      <alignment vertical="center" wrapText="1"/>
    </xf>
    <xf numFmtId="3" fontId="4" fillId="6" borderId="9" xfId="0" applyNumberFormat="1" applyFont="1" applyFill="1" applyBorder="1" applyAlignment="1">
      <alignment vertical="center" wrapText="1"/>
    </xf>
    <xf numFmtId="164" fontId="4" fillId="6" borderId="9" xfId="0" applyNumberFormat="1" applyFont="1" applyFill="1" applyBorder="1" applyAlignment="1">
      <alignment vertical="center" wrapText="1"/>
    </xf>
    <xf numFmtId="0" fontId="4" fillId="8" borderId="9" xfId="0" applyFont="1" applyFill="1" applyBorder="1" applyAlignment="1">
      <alignment vertical="center" wrapText="1"/>
    </xf>
    <xf numFmtId="164" fontId="4" fillId="8" borderId="9" xfId="0" applyNumberFormat="1" applyFont="1" applyFill="1" applyBorder="1" applyAlignment="1">
      <alignment vertical="center" wrapText="1"/>
    </xf>
    <xf numFmtId="4" fontId="4" fillId="8" borderId="9" xfId="0" applyNumberFormat="1" applyFont="1" applyFill="1" applyBorder="1" applyAlignment="1">
      <alignment vertical="center" wrapText="1"/>
    </xf>
    <xf numFmtId="0" fontId="4" fillId="7" borderId="9" xfId="0" applyFont="1" applyFill="1" applyBorder="1" applyAlignment="1">
      <alignment vertical="center" wrapText="1"/>
    </xf>
    <xf numFmtId="10" fontId="4" fillId="6" borderId="9" xfId="0" applyNumberFormat="1" applyFont="1" applyFill="1" applyBorder="1" applyAlignment="1">
      <alignment vertical="center" wrapText="1"/>
    </xf>
    <xf numFmtId="165" fontId="4" fillId="8" borderId="9" xfId="0" applyNumberFormat="1" applyFont="1" applyFill="1" applyBorder="1" applyAlignment="1">
      <alignment vertical="center" wrapText="1"/>
    </xf>
    <xf numFmtId="3" fontId="4" fillId="8" borderId="9" xfId="0" applyNumberFormat="1" applyFont="1" applyFill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4" fillId="5" borderId="2" xfId="0" applyFont="1" applyFill="1" applyBorder="1" applyAlignment="1">
      <alignment vertical="top" wrapText="1"/>
    </xf>
    <xf numFmtId="0" fontId="4" fillId="5" borderId="3" xfId="0" applyFont="1" applyFill="1" applyBorder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4" fillId="5" borderId="5" xfId="0" applyFont="1" applyFill="1" applyBorder="1" applyAlignment="1">
      <alignment vertical="top" wrapText="1"/>
    </xf>
    <xf numFmtId="0" fontId="4" fillId="5" borderId="7" xfId="0" applyFont="1" applyFill="1" applyBorder="1" applyAlignment="1">
      <alignment vertical="top" wrapText="1"/>
    </xf>
    <xf numFmtId="0" fontId="4" fillId="5" borderId="8" xfId="0" applyFont="1" applyFill="1" applyBorder="1" applyAlignment="1">
      <alignment vertical="top" wrapText="1"/>
    </xf>
    <xf numFmtId="0" fontId="4" fillId="6" borderId="9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top" wrapText="1"/>
    </xf>
    <xf numFmtId="0" fontId="4" fillId="7" borderId="3" xfId="0" applyFont="1" applyFill="1" applyBorder="1" applyAlignment="1">
      <alignment vertical="top" wrapText="1"/>
    </xf>
    <xf numFmtId="0" fontId="4" fillId="7" borderId="6" xfId="0" applyFont="1" applyFill="1" applyBorder="1" applyAlignment="1">
      <alignment vertical="top" wrapText="1"/>
    </xf>
    <xf numFmtId="0" fontId="4" fillId="7" borderId="7" xfId="0" applyFont="1" applyFill="1" applyBorder="1" applyAlignment="1">
      <alignment vertical="top" wrapText="1"/>
    </xf>
    <xf numFmtId="0" fontId="4" fillId="7" borderId="8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5" borderId="6" xfId="0" applyFont="1" applyFill="1" applyBorder="1" applyAlignment="1">
      <alignment vertical="top" wrapText="1"/>
    </xf>
    <xf numFmtId="0" fontId="4" fillId="8" borderId="9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workbookViewId="0">
      <selection sqref="A1:H1"/>
    </sheetView>
  </sheetViews>
  <sheetFormatPr defaultRowHeight="15"/>
  <cols>
    <col min="1" max="1" width="12" customWidth="1"/>
    <col min="2" max="8" width="18" customWidth="1"/>
  </cols>
  <sheetData>
    <row r="1" spans="1:8" ht="33.950000000000003" customHeight="1">
      <c r="A1" s="16" t="s">
        <v>0</v>
      </c>
      <c r="B1" s="16"/>
      <c r="C1" s="16"/>
      <c r="D1" s="16"/>
      <c r="E1" s="16"/>
      <c r="F1" s="16"/>
      <c r="G1" s="16"/>
      <c r="H1" s="16"/>
    </row>
    <row r="2" spans="1:8" ht="30" customHeight="1">
      <c r="A2" s="17" t="s">
        <v>1</v>
      </c>
      <c r="B2" s="17"/>
      <c r="C2" s="17"/>
      <c r="D2" s="17"/>
      <c r="E2" s="17"/>
      <c r="F2" s="17"/>
      <c r="G2" s="17"/>
      <c r="H2" s="17"/>
    </row>
    <row r="4" spans="1:8" ht="24" customHeight="1">
      <c r="A4" s="18" t="s">
        <v>2</v>
      </c>
      <c r="B4" s="18"/>
      <c r="C4" s="18"/>
      <c r="D4" s="18"/>
      <c r="E4" s="18"/>
      <c r="F4" s="18"/>
      <c r="G4" s="18"/>
      <c r="H4" s="18"/>
    </row>
    <row r="5" spans="1:8">
      <c r="A5" s="1" t="s">
        <v>3</v>
      </c>
      <c r="B5" s="19" t="s">
        <v>4</v>
      </c>
      <c r="C5" s="19"/>
      <c r="D5" s="19"/>
      <c r="E5" s="19"/>
      <c r="F5" s="19"/>
      <c r="G5" s="19"/>
      <c r="H5" s="20"/>
    </row>
    <row r="6" spans="1:8">
      <c r="A6" s="2" t="s">
        <v>3</v>
      </c>
      <c r="B6" s="21" t="s">
        <v>5</v>
      </c>
      <c r="C6" s="21"/>
      <c r="D6" s="21"/>
      <c r="E6" s="21"/>
      <c r="F6" s="21"/>
      <c r="G6" s="21"/>
      <c r="H6" s="22"/>
    </row>
    <row r="7" spans="1:8">
      <c r="A7" s="2" t="s">
        <v>3</v>
      </c>
      <c r="B7" s="21" t="s">
        <v>6</v>
      </c>
      <c r="C7" s="21"/>
      <c r="D7" s="21"/>
      <c r="E7" s="21"/>
      <c r="F7" s="21"/>
      <c r="G7" s="21"/>
      <c r="H7" s="22"/>
    </row>
    <row r="8" spans="1:8">
      <c r="A8" s="2" t="s">
        <v>7</v>
      </c>
      <c r="B8" s="21" t="s">
        <v>8</v>
      </c>
      <c r="C8" s="21"/>
      <c r="D8" s="21"/>
      <c r="E8" s="21"/>
      <c r="F8" s="21"/>
      <c r="G8" s="21"/>
      <c r="H8" s="22"/>
    </row>
    <row r="9" spans="1:8">
      <c r="A9" s="2" t="s">
        <v>7</v>
      </c>
      <c r="B9" s="21" t="s">
        <v>9</v>
      </c>
      <c r="C9" s="21"/>
      <c r="D9" s="21"/>
      <c r="E9" s="21"/>
      <c r="F9" s="21"/>
      <c r="G9" s="21"/>
      <c r="H9" s="22"/>
    </row>
    <row r="10" spans="1:8">
      <c r="A10" s="2" t="s">
        <v>7</v>
      </c>
      <c r="B10" s="21" t="s">
        <v>10</v>
      </c>
      <c r="C10" s="21"/>
      <c r="D10" s="21"/>
      <c r="E10" s="21"/>
      <c r="F10" s="21"/>
      <c r="G10" s="21"/>
      <c r="H10" s="22"/>
    </row>
    <row r="11" spans="1:8">
      <c r="A11" s="3" t="s">
        <v>11</v>
      </c>
      <c r="B11" s="23" t="s">
        <v>12</v>
      </c>
      <c r="C11" s="23"/>
      <c r="D11" s="23"/>
      <c r="E11" s="23"/>
      <c r="F11" s="23"/>
      <c r="G11" s="23"/>
      <c r="H11" s="24"/>
    </row>
    <row r="13" spans="1:8" ht="24" customHeight="1">
      <c r="A13" s="18" t="s">
        <v>13</v>
      </c>
      <c r="B13" s="18"/>
      <c r="C13" s="18"/>
      <c r="D13" s="18"/>
      <c r="E13" s="18"/>
      <c r="F13" s="18"/>
      <c r="G13" s="18"/>
      <c r="H13" s="18"/>
    </row>
    <row r="14" spans="1:8">
      <c r="A14" s="4" t="s">
        <v>14</v>
      </c>
      <c r="B14" s="25" t="s">
        <v>15</v>
      </c>
      <c r="C14" s="25"/>
      <c r="D14" s="25"/>
      <c r="E14" s="25"/>
      <c r="F14" s="25"/>
      <c r="G14" s="25"/>
      <c r="H14" s="25"/>
    </row>
    <row r="15" spans="1:8">
      <c r="A15" s="4" t="s">
        <v>16</v>
      </c>
      <c r="B15" s="25" t="s">
        <v>17</v>
      </c>
      <c r="C15" s="25"/>
      <c r="D15" s="25"/>
      <c r="E15" s="25"/>
      <c r="F15" s="25"/>
      <c r="G15" s="25"/>
      <c r="H15" s="25"/>
    </row>
    <row r="16" spans="1:8">
      <c r="A16" s="4" t="s">
        <v>18</v>
      </c>
      <c r="B16" s="25" t="s">
        <v>19</v>
      </c>
      <c r="C16" s="25"/>
      <c r="D16" s="25"/>
      <c r="E16" s="25"/>
      <c r="F16" s="25"/>
      <c r="G16" s="25"/>
      <c r="H16" s="25"/>
    </row>
    <row r="17" spans="1:8">
      <c r="A17" s="4" t="s">
        <v>20</v>
      </c>
      <c r="B17" s="25" t="s">
        <v>21</v>
      </c>
      <c r="C17" s="25"/>
      <c r="D17" s="25"/>
      <c r="E17" s="25"/>
      <c r="F17" s="25"/>
      <c r="G17" s="25"/>
      <c r="H17" s="25"/>
    </row>
    <row r="18" spans="1:8">
      <c r="A18" s="4" t="s">
        <v>22</v>
      </c>
      <c r="B18" s="25" t="s">
        <v>23</v>
      </c>
      <c r="C18" s="25"/>
      <c r="D18" s="25"/>
      <c r="E18" s="25"/>
      <c r="F18" s="25"/>
      <c r="G18" s="25"/>
      <c r="H18" s="25"/>
    </row>
    <row r="20" spans="1:8">
      <c r="A20" s="26" t="s">
        <v>24</v>
      </c>
      <c r="B20" s="27"/>
      <c r="C20" s="27"/>
      <c r="D20" s="27"/>
      <c r="E20" s="27"/>
      <c r="F20" s="27"/>
      <c r="G20" s="27"/>
      <c r="H20" s="28"/>
    </row>
    <row r="21" spans="1:8">
      <c r="A21" s="29"/>
      <c r="B21" s="30"/>
      <c r="C21" s="30"/>
      <c r="D21" s="30"/>
      <c r="E21" s="30"/>
      <c r="F21" s="30"/>
      <c r="G21" s="30"/>
      <c r="H21" s="31"/>
    </row>
  </sheetData>
  <mergeCells count="17">
    <mergeCell ref="B18:H18"/>
    <mergeCell ref="A20:H21"/>
    <mergeCell ref="A13:H13"/>
    <mergeCell ref="B14:H14"/>
    <mergeCell ref="B15:H15"/>
    <mergeCell ref="B16:H16"/>
    <mergeCell ref="B17:H17"/>
    <mergeCell ref="B7:H7"/>
    <mergeCell ref="B8:H8"/>
    <mergeCell ref="B9:H9"/>
    <mergeCell ref="B10:H10"/>
    <mergeCell ref="B11:H11"/>
    <mergeCell ref="A1:H1"/>
    <mergeCell ref="A2:H2"/>
    <mergeCell ref="A4:H4"/>
    <mergeCell ref="B5:H5"/>
    <mergeCell ref="B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1"/>
  <sheetViews>
    <sheetView showGridLines="0" workbookViewId="0"/>
  </sheetViews>
  <sheetFormatPr defaultRowHeight="15"/>
  <cols>
    <col min="1" max="1" width="11" customWidth="1"/>
    <col min="2" max="2" width="14" customWidth="1"/>
    <col min="3" max="3" width="13" customWidth="1"/>
    <col min="4" max="4" width="12" customWidth="1"/>
    <col min="5" max="5" width="16" customWidth="1"/>
    <col min="6" max="6" width="20" customWidth="1"/>
    <col min="7" max="7" width="12" customWidth="1"/>
    <col min="8" max="8" width="15" customWidth="1"/>
    <col min="9" max="9" width="16" customWidth="1"/>
    <col min="10" max="10" width="15" customWidth="1"/>
    <col min="11" max="11" width="23" customWidth="1"/>
  </cols>
  <sheetData>
    <row r="1" spans="1:11" ht="33.950000000000003" customHeight="1">
      <c r="A1" s="16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30" customHeight="1">
      <c r="A2" s="17" t="s">
        <v>26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4" spans="1:11">
      <c r="A4" s="32" t="s">
        <v>27</v>
      </c>
      <c r="B4" s="19"/>
      <c r="C4" s="19"/>
      <c r="D4" s="19"/>
      <c r="E4" s="19"/>
      <c r="F4" s="19"/>
      <c r="G4" s="19"/>
      <c r="H4" s="19"/>
      <c r="I4" s="19"/>
      <c r="J4" s="19"/>
      <c r="K4" s="20"/>
    </row>
    <row r="5" spans="1:11">
      <c r="A5" s="33"/>
      <c r="B5" s="23"/>
      <c r="C5" s="23"/>
      <c r="D5" s="23"/>
      <c r="E5" s="23"/>
      <c r="F5" s="23"/>
      <c r="G5" s="23"/>
      <c r="H5" s="23"/>
      <c r="I5" s="23"/>
      <c r="J5" s="23"/>
      <c r="K5" s="24"/>
    </row>
    <row r="7" spans="1:11" ht="30" customHeight="1">
      <c r="A7" s="5" t="s">
        <v>28</v>
      </c>
      <c r="B7" s="5" t="s">
        <v>29</v>
      </c>
      <c r="C7" s="5" t="s">
        <v>30</v>
      </c>
      <c r="D7" s="5" t="s">
        <v>31</v>
      </c>
      <c r="E7" s="5" t="s">
        <v>32</v>
      </c>
      <c r="F7" s="5" t="s">
        <v>33</v>
      </c>
      <c r="G7" s="5" t="s">
        <v>34</v>
      </c>
      <c r="H7" s="5" t="s">
        <v>35</v>
      </c>
      <c r="I7" s="5" t="s">
        <v>36</v>
      </c>
      <c r="J7" s="5" t="s">
        <v>37</v>
      </c>
      <c r="K7" s="5" t="s">
        <v>38</v>
      </c>
    </row>
    <row r="8" spans="1:11">
      <c r="A8" s="4" t="s">
        <v>39</v>
      </c>
      <c r="B8" s="6">
        <v>46023</v>
      </c>
      <c r="C8" s="4" t="s">
        <v>40</v>
      </c>
      <c r="D8" s="4" t="s">
        <v>41</v>
      </c>
      <c r="E8" s="4" t="s">
        <v>42</v>
      </c>
      <c r="F8" s="4" t="s">
        <v>43</v>
      </c>
      <c r="G8" s="7">
        <v>18</v>
      </c>
      <c r="H8" s="8">
        <v>3.4</v>
      </c>
      <c r="I8" s="8">
        <v>61.2</v>
      </c>
      <c r="J8" s="4" t="s">
        <v>44</v>
      </c>
      <c r="K8" s="4" t="s">
        <v>45</v>
      </c>
    </row>
    <row r="9" spans="1:11">
      <c r="A9" s="4" t="s">
        <v>46</v>
      </c>
      <c r="B9" s="6">
        <v>46055</v>
      </c>
      <c r="C9" s="4" t="s">
        <v>47</v>
      </c>
      <c r="D9" s="4" t="s">
        <v>48</v>
      </c>
      <c r="E9" s="4" t="s">
        <v>49</v>
      </c>
      <c r="F9" s="4" t="s">
        <v>50</v>
      </c>
      <c r="G9" s="7">
        <v>31</v>
      </c>
      <c r="H9" s="8">
        <v>1.35</v>
      </c>
      <c r="I9" s="8">
        <v>41.85</v>
      </c>
      <c r="J9" s="4" t="s">
        <v>44</v>
      </c>
      <c r="K9" s="4"/>
    </row>
    <row r="10" spans="1:11">
      <c r="A10" s="4" t="s">
        <v>51</v>
      </c>
      <c r="B10" s="6">
        <v>46084</v>
      </c>
      <c r="C10" s="4" t="s">
        <v>52</v>
      </c>
      <c r="D10" s="4" t="s">
        <v>53</v>
      </c>
      <c r="E10" s="4" t="s">
        <v>54</v>
      </c>
      <c r="F10" s="4" t="s">
        <v>55</v>
      </c>
      <c r="G10" s="7">
        <v>44</v>
      </c>
      <c r="H10" s="8">
        <v>4.5999999999999996</v>
      </c>
      <c r="I10" s="8">
        <v>202.4</v>
      </c>
      <c r="J10" s="4" t="s">
        <v>44</v>
      </c>
      <c r="K10" s="4"/>
    </row>
    <row r="11" spans="1:11">
      <c r="A11" s="4" t="s">
        <v>56</v>
      </c>
      <c r="B11" s="6">
        <v>46116</v>
      </c>
      <c r="C11" s="4" t="s">
        <v>57</v>
      </c>
      <c r="D11" s="4" t="s">
        <v>41</v>
      </c>
      <c r="E11" s="4" t="s">
        <v>58</v>
      </c>
      <c r="F11" s="4" t="s">
        <v>59</v>
      </c>
      <c r="G11" s="7">
        <v>57</v>
      </c>
      <c r="H11" s="8">
        <v>10.5</v>
      </c>
      <c r="I11" s="8">
        <v>598.5</v>
      </c>
      <c r="J11" s="4" t="s">
        <v>60</v>
      </c>
      <c r="K11" s="4"/>
    </row>
    <row r="12" spans="1:11">
      <c r="A12" s="4" t="s">
        <v>61</v>
      </c>
      <c r="B12" s="6">
        <v>46147</v>
      </c>
      <c r="C12" s="4" t="s">
        <v>40</v>
      </c>
      <c r="D12" s="4" t="s">
        <v>48</v>
      </c>
      <c r="E12" s="4" t="s">
        <v>42</v>
      </c>
      <c r="F12" s="4" t="s">
        <v>62</v>
      </c>
      <c r="G12" s="7">
        <v>70</v>
      </c>
      <c r="H12" s="8">
        <v>2.75</v>
      </c>
      <c r="I12" s="8">
        <v>192.5</v>
      </c>
      <c r="J12" s="4" t="s">
        <v>44</v>
      </c>
      <c r="K12" s="4"/>
    </row>
    <row r="13" spans="1:11">
      <c r="A13" s="4" t="s">
        <v>63</v>
      </c>
      <c r="B13" s="6">
        <v>46179</v>
      </c>
      <c r="C13" s="4" t="s">
        <v>47</v>
      </c>
      <c r="D13" s="4" t="s">
        <v>53</v>
      </c>
      <c r="E13" s="4" t="s">
        <v>49</v>
      </c>
      <c r="F13" s="4" t="s">
        <v>64</v>
      </c>
      <c r="G13" s="7">
        <v>83</v>
      </c>
      <c r="H13" s="8">
        <v>2.25</v>
      </c>
      <c r="I13" s="8">
        <v>186.75</v>
      </c>
      <c r="J13" s="4" t="s">
        <v>44</v>
      </c>
      <c r="K13" s="4"/>
    </row>
    <row r="14" spans="1:11">
      <c r="A14" s="4" t="s">
        <v>65</v>
      </c>
      <c r="B14" s="6">
        <v>46210</v>
      </c>
      <c r="C14" s="4" t="s">
        <v>52</v>
      </c>
      <c r="D14" s="4" t="s">
        <v>41</v>
      </c>
      <c r="E14" s="4" t="s">
        <v>54</v>
      </c>
      <c r="F14" s="4" t="s">
        <v>66</v>
      </c>
      <c r="G14" s="7">
        <v>96</v>
      </c>
      <c r="H14" s="8">
        <v>6.2</v>
      </c>
      <c r="I14" s="8">
        <v>595.20000000000005</v>
      </c>
      <c r="J14" s="4" t="s">
        <v>60</v>
      </c>
      <c r="K14" s="4"/>
    </row>
    <row r="15" spans="1:11">
      <c r="A15" s="4" t="s">
        <v>67</v>
      </c>
      <c r="B15" s="6">
        <v>46242</v>
      </c>
      <c r="C15" s="4" t="s">
        <v>57</v>
      </c>
      <c r="D15" s="4" t="s">
        <v>48</v>
      </c>
      <c r="E15" s="4" t="s">
        <v>58</v>
      </c>
      <c r="F15" s="4" t="s">
        <v>68</v>
      </c>
      <c r="G15" s="7">
        <v>109</v>
      </c>
      <c r="H15" s="8">
        <v>18.899999999999999</v>
      </c>
      <c r="I15" s="8">
        <v>2060.1</v>
      </c>
      <c r="J15" s="4" t="s">
        <v>60</v>
      </c>
      <c r="K15" s="4"/>
    </row>
    <row r="16" spans="1:11">
      <c r="A16" s="4" t="s">
        <v>69</v>
      </c>
      <c r="B16" s="6">
        <v>46274</v>
      </c>
      <c r="C16" s="4" t="s">
        <v>40</v>
      </c>
      <c r="D16" s="4" t="s">
        <v>53</v>
      </c>
      <c r="E16" s="4" t="s">
        <v>42</v>
      </c>
      <c r="F16" s="4" t="s">
        <v>70</v>
      </c>
      <c r="G16" s="7">
        <v>122</v>
      </c>
      <c r="H16" s="8">
        <v>5.9</v>
      </c>
      <c r="I16" s="8">
        <v>719.8</v>
      </c>
      <c r="J16" s="4" t="s">
        <v>60</v>
      </c>
      <c r="K16" s="4"/>
    </row>
    <row r="17" spans="1:11">
      <c r="A17" s="4" t="s">
        <v>71</v>
      </c>
      <c r="B17" s="6">
        <v>46305</v>
      </c>
      <c r="C17" s="4" t="s">
        <v>47</v>
      </c>
      <c r="D17" s="4" t="s">
        <v>41</v>
      </c>
      <c r="E17" s="4" t="s">
        <v>49</v>
      </c>
      <c r="F17" s="4" t="s">
        <v>72</v>
      </c>
      <c r="G17" s="7">
        <v>135</v>
      </c>
      <c r="H17" s="8">
        <v>0.8</v>
      </c>
      <c r="I17" s="8">
        <v>108</v>
      </c>
      <c r="J17" s="4" t="s">
        <v>44</v>
      </c>
      <c r="K17" s="4" t="s">
        <v>45</v>
      </c>
    </row>
    <row r="18" spans="1:11">
      <c r="A18" s="4" t="s">
        <v>73</v>
      </c>
      <c r="B18" s="6">
        <v>46337</v>
      </c>
      <c r="C18" s="4" t="s">
        <v>52</v>
      </c>
      <c r="D18" s="4" t="s">
        <v>48</v>
      </c>
      <c r="E18" s="4" t="s">
        <v>54</v>
      </c>
      <c r="F18" s="4" t="s">
        <v>74</v>
      </c>
      <c r="G18" s="7">
        <v>148</v>
      </c>
      <c r="H18" s="8">
        <v>0.25</v>
      </c>
      <c r="I18" s="8">
        <v>37</v>
      </c>
      <c r="J18" s="4" t="s">
        <v>44</v>
      </c>
      <c r="K18" s="4"/>
    </row>
    <row r="19" spans="1:11">
      <c r="A19" s="4" t="s">
        <v>75</v>
      </c>
      <c r="B19" s="6">
        <v>46368</v>
      </c>
      <c r="C19" s="4" t="s">
        <v>57</v>
      </c>
      <c r="D19" s="4" t="s">
        <v>53</v>
      </c>
      <c r="E19" s="4" t="s">
        <v>58</v>
      </c>
      <c r="F19" s="4" t="s">
        <v>76</v>
      </c>
      <c r="G19" s="7">
        <v>161</v>
      </c>
      <c r="H19" s="8">
        <v>74.5</v>
      </c>
      <c r="I19" s="8">
        <v>11994.5</v>
      </c>
      <c r="J19" s="4" t="s">
        <v>60</v>
      </c>
      <c r="K19" s="4"/>
    </row>
    <row r="20" spans="1:11">
      <c r="A20" s="4" t="s">
        <v>77</v>
      </c>
      <c r="B20" s="6">
        <v>46035</v>
      </c>
      <c r="C20" s="4" t="s">
        <v>40</v>
      </c>
      <c r="D20" s="4" t="s">
        <v>41</v>
      </c>
      <c r="E20" s="4" t="s">
        <v>42</v>
      </c>
      <c r="F20" s="4" t="s">
        <v>43</v>
      </c>
      <c r="G20" s="7">
        <v>29</v>
      </c>
      <c r="H20" s="8">
        <v>3.4</v>
      </c>
      <c r="I20" s="8">
        <v>98.6</v>
      </c>
      <c r="J20" s="4" t="s">
        <v>44</v>
      </c>
      <c r="K20" s="4"/>
    </row>
    <row r="21" spans="1:11">
      <c r="A21" s="4" t="s">
        <v>78</v>
      </c>
      <c r="B21" s="6">
        <v>46067</v>
      </c>
      <c r="C21" s="4" t="s">
        <v>47</v>
      </c>
      <c r="D21" s="4" t="s">
        <v>48</v>
      </c>
      <c r="E21" s="4" t="s">
        <v>49</v>
      </c>
      <c r="F21" s="4" t="s">
        <v>50</v>
      </c>
      <c r="G21" s="7">
        <v>42</v>
      </c>
      <c r="H21" s="8">
        <v>1.35</v>
      </c>
      <c r="I21" s="8">
        <v>56.7</v>
      </c>
      <c r="J21" s="4" t="s">
        <v>44</v>
      </c>
      <c r="K21" s="4"/>
    </row>
    <row r="22" spans="1:11">
      <c r="A22" s="4" t="s">
        <v>79</v>
      </c>
      <c r="B22" s="6">
        <v>46096</v>
      </c>
      <c r="C22" s="4" t="s">
        <v>52</v>
      </c>
      <c r="D22" s="4" t="s">
        <v>53</v>
      </c>
      <c r="E22" s="4" t="s">
        <v>54</v>
      </c>
      <c r="F22" s="4" t="s">
        <v>55</v>
      </c>
      <c r="G22" s="7">
        <v>55</v>
      </c>
      <c r="H22" s="8">
        <v>4.5999999999999996</v>
      </c>
      <c r="I22" s="8">
        <v>253</v>
      </c>
      <c r="J22" s="4" t="s">
        <v>44</v>
      </c>
      <c r="K22" s="4"/>
    </row>
    <row r="23" spans="1:11">
      <c r="A23" s="4" t="s">
        <v>80</v>
      </c>
      <c r="B23" s="6">
        <v>46128</v>
      </c>
      <c r="C23" s="4" t="s">
        <v>57</v>
      </c>
      <c r="D23" s="4" t="s">
        <v>41</v>
      </c>
      <c r="E23" s="4" t="s">
        <v>58</v>
      </c>
      <c r="F23" s="4" t="s">
        <v>59</v>
      </c>
      <c r="G23" s="7">
        <v>68</v>
      </c>
      <c r="H23" s="8">
        <v>10.5</v>
      </c>
      <c r="I23" s="8">
        <v>714</v>
      </c>
      <c r="J23" s="4" t="s">
        <v>60</v>
      </c>
      <c r="K23" s="4"/>
    </row>
    <row r="24" spans="1:11">
      <c r="A24" s="4" t="s">
        <v>81</v>
      </c>
      <c r="B24" s="6">
        <v>46159</v>
      </c>
      <c r="C24" s="4" t="s">
        <v>40</v>
      </c>
      <c r="D24" s="4" t="s">
        <v>48</v>
      </c>
      <c r="E24" s="4" t="s">
        <v>42</v>
      </c>
      <c r="F24" s="4" t="s">
        <v>62</v>
      </c>
      <c r="G24" s="7">
        <v>81</v>
      </c>
      <c r="H24" s="8">
        <v>2.75</v>
      </c>
      <c r="I24" s="8">
        <v>222.75</v>
      </c>
      <c r="J24" s="4" t="s">
        <v>44</v>
      </c>
      <c r="K24" s="4"/>
    </row>
    <row r="25" spans="1:11">
      <c r="A25" s="4" t="s">
        <v>82</v>
      </c>
      <c r="B25" s="6">
        <v>46191</v>
      </c>
      <c r="C25" s="4" t="s">
        <v>47</v>
      </c>
      <c r="D25" s="4" t="s">
        <v>53</v>
      </c>
      <c r="E25" s="4" t="s">
        <v>49</v>
      </c>
      <c r="F25" s="4" t="s">
        <v>64</v>
      </c>
      <c r="G25" s="7"/>
      <c r="H25" s="8">
        <v>2.25</v>
      </c>
      <c r="I25" s="8">
        <v>720</v>
      </c>
      <c r="J25" s="4" t="s">
        <v>60</v>
      </c>
      <c r="K25" s="4"/>
    </row>
    <row r="26" spans="1:11">
      <c r="A26" s="4" t="s">
        <v>83</v>
      </c>
      <c r="B26" s="6">
        <v>46222</v>
      </c>
      <c r="C26" s="4" t="s">
        <v>52</v>
      </c>
      <c r="D26" s="4" t="s">
        <v>41</v>
      </c>
      <c r="E26" s="4" t="s">
        <v>54</v>
      </c>
      <c r="F26" s="4" t="s">
        <v>66</v>
      </c>
      <c r="G26" s="7">
        <v>107</v>
      </c>
      <c r="H26" s="8">
        <v>6.2</v>
      </c>
      <c r="I26" s="8">
        <v>663.4</v>
      </c>
      <c r="J26" s="4" t="s">
        <v>60</v>
      </c>
      <c r="K26" s="4" t="s">
        <v>45</v>
      </c>
    </row>
    <row r="27" spans="1:11">
      <c r="A27" s="4" t="s">
        <v>84</v>
      </c>
      <c r="B27" s="6">
        <v>46254</v>
      </c>
      <c r="C27" s="4" t="s">
        <v>57</v>
      </c>
      <c r="D27" s="4" t="s">
        <v>48</v>
      </c>
      <c r="E27" s="4" t="s">
        <v>58</v>
      </c>
      <c r="F27" s="4" t="s">
        <v>68</v>
      </c>
      <c r="G27" s="7">
        <v>120</v>
      </c>
      <c r="H27" s="8">
        <v>18.899999999999999</v>
      </c>
      <c r="I27" s="8">
        <v>2268</v>
      </c>
      <c r="J27" s="4" t="s">
        <v>60</v>
      </c>
      <c r="K27" s="4"/>
    </row>
    <row r="28" spans="1:11">
      <c r="A28" s="4" t="s">
        <v>85</v>
      </c>
      <c r="B28" s="6">
        <v>46286</v>
      </c>
      <c r="C28" s="4" t="s">
        <v>40</v>
      </c>
      <c r="D28" s="4" t="s">
        <v>53</v>
      </c>
      <c r="E28" s="4" t="s">
        <v>42</v>
      </c>
      <c r="F28" s="4" t="s">
        <v>70</v>
      </c>
      <c r="G28" s="7">
        <v>133</v>
      </c>
      <c r="H28" s="8">
        <v>5.9</v>
      </c>
      <c r="I28" s="8">
        <v>784.7</v>
      </c>
      <c r="J28" s="4" t="s">
        <v>60</v>
      </c>
      <c r="K28" s="4"/>
    </row>
    <row r="29" spans="1:11">
      <c r="A29" s="4" t="s">
        <v>86</v>
      </c>
      <c r="B29" s="6">
        <v>46317</v>
      </c>
      <c r="C29" s="4" t="s">
        <v>47</v>
      </c>
      <c r="D29" s="4" t="s">
        <v>41</v>
      </c>
      <c r="E29" s="4" t="s">
        <v>49</v>
      </c>
      <c r="F29" s="4" t="s">
        <v>72</v>
      </c>
      <c r="G29" s="7">
        <v>146</v>
      </c>
      <c r="H29" s="8">
        <v>0.8</v>
      </c>
      <c r="I29" s="8">
        <v>116.8</v>
      </c>
      <c r="J29" s="4" t="s">
        <v>44</v>
      </c>
      <c r="K29" s="4"/>
    </row>
    <row r="30" spans="1:11">
      <c r="A30" s="4" t="s">
        <v>87</v>
      </c>
      <c r="B30" s="6">
        <v>46349</v>
      </c>
      <c r="C30" s="4" t="s">
        <v>52</v>
      </c>
      <c r="D30" s="4" t="s">
        <v>48</v>
      </c>
      <c r="E30" s="4" t="s">
        <v>54</v>
      </c>
      <c r="F30" s="4" t="s">
        <v>74</v>
      </c>
      <c r="G30" s="7">
        <v>159</v>
      </c>
      <c r="H30" s="8">
        <v>0.25</v>
      </c>
      <c r="I30" s="8">
        <v>39.75</v>
      </c>
      <c r="J30" s="4" t="s">
        <v>44</v>
      </c>
      <c r="K30" s="4"/>
    </row>
    <row r="31" spans="1:11">
      <c r="A31" s="4" t="s">
        <v>88</v>
      </c>
      <c r="B31" s="6">
        <v>46380</v>
      </c>
      <c r="C31" s="4" t="s">
        <v>57</v>
      </c>
      <c r="D31" s="4" t="s">
        <v>53</v>
      </c>
      <c r="E31" s="4" t="s">
        <v>58</v>
      </c>
      <c r="F31" s="4" t="s">
        <v>76</v>
      </c>
      <c r="G31" s="7">
        <v>27</v>
      </c>
      <c r="H31" s="8">
        <v>74.5</v>
      </c>
      <c r="I31" s="8">
        <v>2011.5</v>
      </c>
      <c r="J31" s="4" t="s">
        <v>60</v>
      </c>
      <c r="K31" s="4"/>
    </row>
    <row r="32" spans="1:11">
      <c r="A32" s="4" t="s">
        <v>89</v>
      </c>
      <c r="B32" s="6">
        <v>46023</v>
      </c>
      <c r="C32" s="4" t="s">
        <v>40</v>
      </c>
      <c r="D32" s="4" t="s">
        <v>41</v>
      </c>
      <c r="E32" s="4" t="s">
        <v>42</v>
      </c>
      <c r="F32" s="4" t="s">
        <v>43</v>
      </c>
      <c r="G32" s="7">
        <v>40</v>
      </c>
      <c r="H32" s="8">
        <v>3.4</v>
      </c>
      <c r="I32" s="8">
        <v>136</v>
      </c>
      <c r="J32" s="4" t="s">
        <v>44</v>
      </c>
      <c r="K32" s="4"/>
    </row>
    <row r="33" spans="1:11">
      <c r="A33" s="4" t="s">
        <v>90</v>
      </c>
      <c r="B33" s="6">
        <v>46055</v>
      </c>
      <c r="C33" s="4" t="s">
        <v>47</v>
      </c>
      <c r="D33" s="4" t="s">
        <v>48</v>
      </c>
      <c r="E33" s="4" t="s">
        <v>49</v>
      </c>
      <c r="F33" s="4" t="s">
        <v>50</v>
      </c>
      <c r="G33" s="7">
        <v>53</v>
      </c>
      <c r="H33" s="8">
        <v>1.35</v>
      </c>
      <c r="I33" s="8">
        <v>71.55</v>
      </c>
      <c r="J33" s="4" t="s">
        <v>44</v>
      </c>
      <c r="K33" s="4"/>
    </row>
    <row r="34" spans="1:11">
      <c r="A34" s="4" t="s">
        <v>91</v>
      </c>
      <c r="B34" s="6">
        <v>46084</v>
      </c>
      <c r="C34" s="4" t="s">
        <v>52</v>
      </c>
      <c r="D34" s="4" t="s">
        <v>53</v>
      </c>
      <c r="E34" s="4" t="s">
        <v>54</v>
      </c>
      <c r="F34" s="4" t="s">
        <v>55</v>
      </c>
      <c r="G34" s="7">
        <v>66</v>
      </c>
      <c r="H34" s="8">
        <v>4.5999999999999996</v>
      </c>
      <c r="I34" s="8">
        <v>303.60000000000002</v>
      </c>
      <c r="J34" s="4" t="s">
        <v>44</v>
      </c>
      <c r="K34" s="4"/>
    </row>
    <row r="35" spans="1:11">
      <c r="A35" s="4" t="s">
        <v>92</v>
      </c>
      <c r="B35" s="6">
        <v>46116</v>
      </c>
      <c r="C35" s="4" t="s">
        <v>57</v>
      </c>
      <c r="D35" s="4" t="s">
        <v>41</v>
      </c>
      <c r="E35" s="4" t="s">
        <v>58</v>
      </c>
      <c r="F35" s="4" t="s">
        <v>59</v>
      </c>
      <c r="G35" s="7">
        <v>79</v>
      </c>
      <c r="H35" s="8">
        <v>10.5</v>
      </c>
      <c r="I35" s="8">
        <v>829.5</v>
      </c>
      <c r="J35" s="4" t="s">
        <v>60</v>
      </c>
      <c r="K35" s="4" t="s">
        <v>45</v>
      </c>
    </row>
    <row r="36" spans="1:11">
      <c r="A36" s="4" t="s">
        <v>93</v>
      </c>
      <c r="B36" s="6">
        <v>46147</v>
      </c>
      <c r="C36" s="4" t="s">
        <v>40</v>
      </c>
      <c r="D36" s="4" t="s">
        <v>48</v>
      </c>
      <c r="E36" s="4" t="s">
        <v>42</v>
      </c>
      <c r="F36" s="4" t="s">
        <v>62</v>
      </c>
      <c r="G36" s="7">
        <v>92</v>
      </c>
      <c r="H36" s="8">
        <v>2.75</v>
      </c>
      <c r="I36" s="8">
        <v>253</v>
      </c>
      <c r="J36" s="4" t="s">
        <v>44</v>
      </c>
      <c r="K36" s="4"/>
    </row>
    <row r="37" spans="1:11">
      <c r="A37" s="4" t="s">
        <v>94</v>
      </c>
      <c r="B37" s="6">
        <v>46179</v>
      </c>
      <c r="C37" s="4" t="s">
        <v>47</v>
      </c>
      <c r="D37" s="4" t="s">
        <v>53</v>
      </c>
      <c r="E37" s="4" t="s">
        <v>49</v>
      </c>
      <c r="F37" s="4" t="s">
        <v>64</v>
      </c>
      <c r="G37" s="7">
        <v>105</v>
      </c>
      <c r="H37" s="8">
        <v>2.25</v>
      </c>
      <c r="I37" s="8">
        <v>236.25</v>
      </c>
      <c r="J37" s="4" t="s">
        <v>44</v>
      </c>
      <c r="K37" s="4"/>
    </row>
    <row r="38" spans="1:11">
      <c r="A38" s="4" t="s">
        <v>95</v>
      </c>
      <c r="B38" s="6">
        <v>46210</v>
      </c>
      <c r="C38" s="4" t="s">
        <v>52</v>
      </c>
      <c r="D38" s="4" t="s">
        <v>41</v>
      </c>
      <c r="E38" s="4" t="s">
        <v>54</v>
      </c>
      <c r="F38" s="4" t="s">
        <v>66</v>
      </c>
      <c r="G38" s="7">
        <v>118</v>
      </c>
      <c r="H38" s="8">
        <v>6.2</v>
      </c>
      <c r="I38" s="8">
        <v>731.6</v>
      </c>
      <c r="J38" s="4" t="s">
        <v>60</v>
      </c>
      <c r="K38" s="4"/>
    </row>
    <row r="39" spans="1:11">
      <c r="A39" s="4" t="s">
        <v>96</v>
      </c>
      <c r="B39" s="6">
        <v>46242</v>
      </c>
      <c r="C39" s="4" t="s">
        <v>57</v>
      </c>
      <c r="D39" s="4" t="s">
        <v>48</v>
      </c>
      <c r="E39" s="4" t="s">
        <v>58</v>
      </c>
      <c r="F39" s="4" t="s">
        <v>68</v>
      </c>
      <c r="G39" s="7">
        <v>131</v>
      </c>
      <c r="H39" s="8">
        <v>18.899999999999999</v>
      </c>
      <c r="I39" s="8">
        <v>2475.9</v>
      </c>
      <c r="J39" s="4" t="s">
        <v>60</v>
      </c>
      <c r="K39" s="4"/>
    </row>
    <row r="40" spans="1:11">
      <c r="A40" s="4" t="s">
        <v>97</v>
      </c>
      <c r="B40" s="6">
        <v>46274</v>
      </c>
      <c r="C40" s="4" t="s">
        <v>40</v>
      </c>
      <c r="D40" s="4" t="s">
        <v>53</v>
      </c>
      <c r="E40" s="4" t="s">
        <v>42</v>
      </c>
      <c r="F40" s="4" t="s">
        <v>70</v>
      </c>
      <c r="G40" s="7">
        <v>144</v>
      </c>
      <c r="H40" s="8">
        <v>5.9</v>
      </c>
      <c r="I40" s="8">
        <v>849.6</v>
      </c>
      <c r="J40" s="4" t="s">
        <v>60</v>
      </c>
      <c r="K40" s="4"/>
    </row>
    <row r="41" spans="1:11">
      <c r="A41" s="4" t="s">
        <v>98</v>
      </c>
      <c r="B41" s="6">
        <v>46305</v>
      </c>
      <c r="C41" s="4" t="s">
        <v>47</v>
      </c>
      <c r="D41" s="4" t="s">
        <v>41</v>
      </c>
      <c r="E41" s="4" t="s">
        <v>49</v>
      </c>
      <c r="F41" s="4" t="s">
        <v>72</v>
      </c>
      <c r="G41" s="7">
        <v>157</v>
      </c>
      <c r="H41" s="8">
        <v>0.8</v>
      </c>
      <c r="I41" s="8">
        <v>125.6</v>
      </c>
      <c r="J41" s="4" t="s">
        <v>44</v>
      </c>
      <c r="K41" s="4"/>
    </row>
    <row r="42" spans="1:11">
      <c r="A42" s="4" t="s">
        <v>99</v>
      </c>
      <c r="B42" s="6">
        <v>46337</v>
      </c>
      <c r="C42" s="4" t="s">
        <v>52</v>
      </c>
      <c r="D42" s="4" t="s">
        <v>48</v>
      </c>
      <c r="E42" s="4" t="s">
        <v>54</v>
      </c>
      <c r="F42" s="4" t="s">
        <v>74</v>
      </c>
      <c r="G42" s="7">
        <v>25</v>
      </c>
      <c r="H42" s="8">
        <v>0.25</v>
      </c>
      <c r="I42" s="8">
        <v>6.25</v>
      </c>
      <c r="J42" s="4" t="s">
        <v>44</v>
      </c>
      <c r="K42" s="4"/>
    </row>
    <row r="43" spans="1:11">
      <c r="A43" s="4" t="s">
        <v>100</v>
      </c>
      <c r="B43" s="6">
        <v>46368</v>
      </c>
      <c r="C43" s="4" t="s">
        <v>57</v>
      </c>
      <c r="D43" s="4" t="s">
        <v>53</v>
      </c>
      <c r="E43" s="4" t="s">
        <v>58</v>
      </c>
      <c r="F43" s="4" t="s">
        <v>76</v>
      </c>
      <c r="G43" s="7">
        <v>38</v>
      </c>
      <c r="H43" s="8">
        <v>74.5</v>
      </c>
      <c r="I43" s="8">
        <v>2831</v>
      </c>
      <c r="J43" s="4" t="s">
        <v>60</v>
      </c>
      <c r="K43" s="4"/>
    </row>
    <row r="44" spans="1:11">
      <c r="A44" s="4" t="s">
        <v>101</v>
      </c>
      <c r="B44" s="6">
        <v>46035</v>
      </c>
      <c r="C44" s="4" t="s">
        <v>40</v>
      </c>
      <c r="D44" s="4" t="s">
        <v>41</v>
      </c>
      <c r="E44" s="4" t="s">
        <v>42</v>
      </c>
      <c r="F44" s="4" t="s">
        <v>43</v>
      </c>
      <c r="G44" s="7">
        <v>51</v>
      </c>
      <c r="H44" s="8">
        <v>3.4</v>
      </c>
      <c r="I44" s="8">
        <v>173.4</v>
      </c>
      <c r="J44" s="4" t="s">
        <v>44</v>
      </c>
      <c r="K44" s="4" t="s">
        <v>45</v>
      </c>
    </row>
    <row r="45" spans="1:11">
      <c r="A45" s="4" t="s">
        <v>102</v>
      </c>
      <c r="B45" s="6">
        <v>46067</v>
      </c>
      <c r="C45" s="4" t="s">
        <v>47</v>
      </c>
      <c r="D45" s="4" t="s">
        <v>48</v>
      </c>
      <c r="E45" s="4" t="s">
        <v>49</v>
      </c>
      <c r="F45" s="4" t="s">
        <v>50</v>
      </c>
      <c r="G45" s="7">
        <v>64</v>
      </c>
      <c r="H45" s="8">
        <v>1.35</v>
      </c>
      <c r="I45" s="8">
        <v>86.4</v>
      </c>
      <c r="J45" s="4" t="s">
        <v>44</v>
      </c>
      <c r="K45" s="4"/>
    </row>
    <row r="46" spans="1:11">
      <c r="A46" s="4" t="s">
        <v>103</v>
      </c>
      <c r="B46" s="6">
        <v>46096</v>
      </c>
      <c r="C46" s="4" t="s">
        <v>52</v>
      </c>
      <c r="D46" s="4" t="s">
        <v>53</v>
      </c>
      <c r="E46" s="4" t="s">
        <v>54</v>
      </c>
      <c r="F46" s="4" t="s">
        <v>55</v>
      </c>
      <c r="G46" s="7">
        <v>77</v>
      </c>
      <c r="H46" s="8">
        <v>4.5999999999999996</v>
      </c>
      <c r="I46" s="8">
        <v>354.2</v>
      </c>
      <c r="J46" s="4" t="s">
        <v>44</v>
      </c>
      <c r="K46" s="4"/>
    </row>
    <row r="47" spans="1:11">
      <c r="A47" s="4" t="s">
        <v>104</v>
      </c>
      <c r="B47" s="6">
        <v>46128</v>
      </c>
      <c r="C47" s="4" t="s">
        <v>57</v>
      </c>
      <c r="D47" s="4" t="s">
        <v>41</v>
      </c>
      <c r="E47" s="4" t="s">
        <v>58</v>
      </c>
      <c r="F47" s="4" t="s">
        <v>59</v>
      </c>
      <c r="G47" s="7">
        <v>90</v>
      </c>
      <c r="H47" s="8">
        <v>10.5</v>
      </c>
      <c r="I47" s="8">
        <v>945</v>
      </c>
      <c r="J47" s="4" t="s">
        <v>60</v>
      </c>
      <c r="K47" s="4"/>
    </row>
    <row r="48" spans="1:11">
      <c r="A48" s="4" t="s">
        <v>105</v>
      </c>
      <c r="B48" s="6">
        <v>46159</v>
      </c>
      <c r="C48" s="4" t="s">
        <v>40</v>
      </c>
      <c r="D48" s="4" t="s">
        <v>48</v>
      </c>
      <c r="E48" s="4" t="s">
        <v>42</v>
      </c>
      <c r="F48" s="4" t="s">
        <v>62</v>
      </c>
      <c r="G48" s="7">
        <v>103</v>
      </c>
      <c r="H48" s="8">
        <v>2.75</v>
      </c>
      <c r="I48" s="8">
        <v>283.25</v>
      </c>
      <c r="J48" s="4" t="s">
        <v>44</v>
      </c>
      <c r="K48" s="4"/>
    </row>
    <row r="49" spans="1:11">
      <c r="A49" s="4" t="s">
        <v>106</v>
      </c>
      <c r="B49" s="6">
        <v>46191</v>
      </c>
      <c r="C49" s="4" t="s">
        <v>47</v>
      </c>
      <c r="D49" s="4" t="s">
        <v>53</v>
      </c>
      <c r="E49" s="4" t="s">
        <v>49</v>
      </c>
      <c r="F49" s="4" t="s">
        <v>64</v>
      </c>
      <c r="G49" s="7">
        <v>116</v>
      </c>
      <c r="H49" s="8">
        <v>2.25</v>
      </c>
      <c r="I49" s="8">
        <v>261</v>
      </c>
      <c r="J49" s="4" t="s">
        <v>44</v>
      </c>
      <c r="K49" s="4"/>
    </row>
    <row r="50" spans="1:11">
      <c r="A50" s="4" t="s">
        <v>107</v>
      </c>
      <c r="B50" s="6">
        <v>46222</v>
      </c>
      <c r="C50" s="4" t="s">
        <v>52</v>
      </c>
      <c r="D50" s="4" t="s">
        <v>41</v>
      </c>
      <c r="E50" s="4" t="s">
        <v>54</v>
      </c>
      <c r="F50" s="4" t="s">
        <v>66</v>
      </c>
      <c r="G50" s="7">
        <v>129</v>
      </c>
      <c r="H50" s="8">
        <v>6.2</v>
      </c>
      <c r="I50" s="8">
        <v>799.8</v>
      </c>
      <c r="J50" s="4" t="s">
        <v>60</v>
      </c>
      <c r="K50" s="4"/>
    </row>
    <row r="51" spans="1:11">
      <c r="A51" s="4" t="s">
        <v>108</v>
      </c>
      <c r="B51" s="6">
        <v>46254</v>
      </c>
      <c r="C51" s="4" t="s">
        <v>57</v>
      </c>
      <c r="D51" s="4" t="s">
        <v>48</v>
      </c>
      <c r="E51" s="4" t="s">
        <v>58</v>
      </c>
      <c r="F51" s="4" t="s">
        <v>68</v>
      </c>
      <c r="G51" s="7">
        <v>142</v>
      </c>
      <c r="H51" s="8">
        <v>18.899999999999999</v>
      </c>
      <c r="I51" s="8">
        <v>2683.8</v>
      </c>
      <c r="J51" s="4" t="s">
        <v>60</v>
      </c>
      <c r="K51" s="4"/>
    </row>
    <row r="52" spans="1:11">
      <c r="A52" s="4" t="s">
        <v>109</v>
      </c>
      <c r="B52" s="6">
        <v>46286</v>
      </c>
      <c r="C52" s="4" t="s">
        <v>40</v>
      </c>
      <c r="D52" s="4" t="s">
        <v>53</v>
      </c>
      <c r="E52" s="4" t="s">
        <v>42</v>
      </c>
      <c r="F52" s="4" t="s">
        <v>70</v>
      </c>
      <c r="G52" s="7">
        <v>155</v>
      </c>
      <c r="H52" s="8">
        <v>5.9</v>
      </c>
      <c r="I52" s="8">
        <v>914.5</v>
      </c>
      <c r="J52" s="4" t="s">
        <v>60</v>
      </c>
      <c r="K52" s="4"/>
    </row>
    <row r="53" spans="1:11">
      <c r="A53" s="4" t="s">
        <v>110</v>
      </c>
      <c r="B53" s="6">
        <v>46317</v>
      </c>
      <c r="C53" s="4" t="s">
        <v>47</v>
      </c>
      <c r="D53" s="4" t="s">
        <v>41</v>
      </c>
      <c r="E53" s="4" t="s">
        <v>49</v>
      </c>
      <c r="F53" s="4" t="s">
        <v>72</v>
      </c>
      <c r="G53" s="7">
        <v>23</v>
      </c>
      <c r="H53" s="8">
        <v>0.8</v>
      </c>
      <c r="I53" s="8">
        <v>18.399999999999999</v>
      </c>
      <c r="J53" s="4" t="s">
        <v>44</v>
      </c>
      <c r="K53" s="4" t="s">
        <v>45</v>
      </c>
    </row>
    <row r="54" spans="1:11">
      <c r="A54" s="4" t="s">
        <v>111</v>
      </c>
      <c r="B54" s="6">
        <v>46349</v>
      </c>
      <c r="C54" s="4" t="s">
        <v>52</v>
      </c>
      <c r="D54" s="4" t="s">
        <v>48</v>
      </c>
      <c r="E54" s="4" t="s">
        <v>54</v>
      </c>
      <c r="F54" s="4" t="s">
        <v>74</v>
      </c>
      <c r="G54" s="7">
        <v>36</v>
      </c>
      <c r="H54" s="8">
        <v>0.25</v>
      </c>
      <c r="I54" s="8">
        <v>9</v>
      </c>
      <c r="J54" s="4" t="s">
        <v>44</v>
      </c>
      <c r="K54" s="4"/>
    </row>
    <row r="55" spans="1:11">
      <c r="A55" s="4" t="s">
        <v>112</v>
      </c>
      <c r="B55" s="6">
        <v>46380</v>
      </c>
      <c r="C55" s="4" t="s">
        <v>57</v>
      </c>
      <c r="D55" s="4" t="s">
        <v>53</v>
      </c>
      <c r="E55" s="4" t="s">
        <v>58</v>
      </c>
      <c r="F55" s="4" t="s">
        <v>76</v>
      </c>
      <c r="G55" s="7">
        <v>49</v>
      </c>
      <c r="H55" s="8">
        <v>74.5</v>
      </c>
      <c r="I55" s="8">
        <v>3650.5</v>
      </c>
      <c r="J55" s="4" t="s">
        <v>60</v>
      </c>
      <c r="K55" s="4"/>
    </row>
    <row r="56" spans="1:11">
      <c r="A56" s="4" t="s">
        <v>113</v>
      </c>
      <c r="B56" s="6">
        <v>46023</v>
      </c>
      <c r="C56" s="4" t="s">
        <v>40</v>
      </c>
      <c r="D56" s="4" t="s">
        <v>41</v>
      </c>
      <c r="E56" s="4" t="s">
        <v>42</v>
      </c>
      <c r="F56" s="4" t="s">
        <v>43</v>
      </c>
      <c r="G56" s="7">
        <v>62</v>
      </c>
      <c r="H56" s="8">
        <v>3.4</v>
      </c>
      <c r="I56" s="8">
        <v>210.8</v>
      </c>
      <c r="J56" s="4" t="s">
        <v>44</v>
      </c>
      <c r="K56" s="4"/>
    </row>
    <row r="57" spans="1:11">
      <c r="A57" s="4" t="s">
        <v>114</v>
      </c>
      <c r="B57" s="6">
        <v>46055</v>
      </c>
      <c r="C57" s="4" t="s">
        <v>47</v>
      </c>
      <c r="D57" s="4" t="s">
        <v>48</v>
      </c>
      <c r="E57" s="4" t="s">
        <v>49</v>
      </c>
      <c r="F57" s="4" t="s">
        <v>50</v>
      </c>
      <c r="G57" s="7">
        <v>75</v>
      </c>
      <c r="H57" s="8">
        <v>1.35</v>
      </c>
      <c r="I57" s="8">
        <v>101.25</v>
      </c>
      <c r="J57" s="4" t="s">
        <v>44</v>
      </c>
      <c r="K57" s="4"/>
    </row>
    <row r="58" spans="1:11">
      <c r="A58" s="4" t="s">
        <v>115</v>
      </c>
      <c r="B58" s="6">
        <v>46084</v>
      </c>
      <c r="C58" s="4" t="s">
        <v>52</v>
      </c>
      <c r="D58" s="4" t="s">
        <v>53</v>
      </c>
      <c r="E58" s="4" t="s">
        <v>54</v>
      </c>
      <c r="F58" s="4" t="s">
        <v>55</v>
      </c>
      <c r="G58" s="7">
        <v>88</v>
      </c>
      <c r="H58" s="8">
        <v>4.5999999999999996</v>
      </c>
      <c r="I58" s="8">
        <v>404.8</v>
      </c>
      <c r="J58" s="4" t="s">
        <v>44</v>
      </c>
      <c r="K58" s="4"/>
    </row>
    <row r="59" spans="1:11">
      <c r="A59" s="4" t="s">
        <v>116</v>
      </c>
      <c r="B59" s="6">
        <v>46116</v>
      </c>
      <c r="C59" s="4" t="s">
        <v>57</v>
      </c>
      <c r="D59" s="4" t="s">
        <v>41</v>
      </c>
      <c r="E59" s="4" t="s">
        <v>58</v>
      </c>
      <c r="F59" s="4" t="s">
        <v>59</v>
      </c>
      <c r="G59" s="7">
        <v>101</v>
      </c>
      <c r="H59" s="8">
        <v>10.5</v>
      </c>
      <c r="I59" s="8">
        <v>1060.5</v>
      </c>
      <c r="J59" s="4" t="s">
        <v>60</v>
      </c>
      <c r="K59" s="4"/>
    </row>
    <row r="60" spans="1:11">
      <c r="A60" s="4" t="s">
        <v>117</v>
      </c>
      <c r="B60" s="6">
        <v>46147</v>
      </c>
      <c r="C60" s="4" t="s">
        <v>40</v>
      </c>
      <c r="D60" s="4" t="s">
        <v>48</v>
      </c>
      <c r="E60" s="4" t="s">
        <v>42</v>
      </c>
      <c r="F60" s="4" t="s">
        <v>62</v>
      </c>
      <c r="G60" s="7">
        <v>114</v>
      </c>
      <c r="H60" s="8">
        <v>2.75</v>
      </c>
      <c r="I60" s="8">
        <v>313.5</v>
      </c>
      <c r="J60" s="4" t="s">
        <v>44</v>
      </c>
      <c r="K60" s="4"/>
    </row>
    <row r="61" spans="1:11">
      <c r="A61" s="4" t="s">
        <v>118</v>
      </c>
      <c r="B61" s="6">
        <v>46179</v>
      </c>
      <c r="C61" s="4" t="s">
        <v>47</v>
      </c>
      <c r="D61" s="4" t="s">
        <v>53</v>
      </c>
      <c r="E61" s="4" t="s">
        <v>49</v>
      </c>
      <c r="F61" s="4" t="s">
        <v>64</v>
      </c>
      <c r="G61" s="7">
        <v>127</v>
      </c>
      <c r="H61" s="8">
        <v>2.25</v>
      </c>
      <c r="I61" s="8">
        <v>18650</v>
      </c>
      <c r="J61" s="4" t="s">
        <v>60</v>
      </c>
      <c r="K61" s="4" t="s">
        <v>119</v>
      </c>
    </row>
    <row r="62" spans="1:11">
      <c r="A62" s="4" t="s">
        <v>120</v>
      </c>
      <c r="B62" s="6">
        <v>46210</v>
      </c>
      <c r="C62" s="4" t="s">
        <v>52</v>
      </c>
      <c r="D62" s="4" t="s">
        <v>41</v>
      </c>
      <c r="E62" s="4" t="s">
        <v>54</v>
      </c>
      <c r="F62" s="4" t="s">
        <v>66</v>
      </c>
      <c r="G62" s="7">
        <v>140</v>
      </c>
      <c r="H62" s="8">
        <v>6.2</v>
      </c>
      <c r="I62" s="8">
        <v>868</v>
      </c>
      <c r="J62" s="4" t="s">
        <v>60</v>
      </c>
      <c r="K62" s="4" t="s">
        <v>45</v>
      </c>
    </row>
    <row r="63" spans="1:11">
      <c r="A63" s="4" t="s">
        <v>121</v>
      </c>
      <c r="B63" s="6">
        <v>46242</v>
      </c>
      <c r="C63" s="4" t="s">
        <v>57</v>
      </c>
      <c r="D63" s="4" t="s">
        <v>48</v>
      </c>
      <c r="E63" s="4" t="s">
        <v>58</v>
      </c>
      <c r="F63" s="4" t="s">
        <v>68</v>
      </c>
      <c r="G63" s="7">
        <v>153</v>
      </c>
      <c r="H63" s="8">
        <v>18.899999999999999</v>
      </c>
      <c r="I63" s="8">
        <v>2891.7</v>
      </c>
      <c r="J63" s="4" t="s">
        <v>60</v>
      </c>
      <c r="K63" s="4"/>
    </row>
    <row r="64" spans="1:11">
      <c r="A64" s="4" t="s">
        <v>122</v>
      </c>
      <c r="B64" s="6">
        <v>46274</v>
      </c>
      <c r="C64" s="4" t="s">
        <v>40</v>
      </c>
      <c r="D64" s="4" t="s">
        <v>53</v>
      </c>
      <c r="E64" s="4" t="s">
        <v>42</v>
      </c>
      <c r="F64" s="4" t="s">
        <v>70</v>
      </c>
      <c r="G64" s="7">
        <v>21</v>
      </c>
      <c r="H64" s="8">
        <v>5.9</v>
      </c>
      <c r="I64" s="8">
        <v>123.9</v>
      </c>
      <c r="J64" s="4" t="s">
        <v>44</v>
      </c>
      <c r="K64" s="4"/>
    </row>
    <row r="65" spans="1:11">
      <c r="A65" s="4" t="s">
        <v>123</v>
      </c>
      <c r="B65" s="6">
        <v>46305</v>
      </c>
      <c r="C65" s="4" t="s">
        <v>47</v>
      </c>
      <c r="D65" s="4" t="s">
        <v>41</v>
      </c>
      <c r="E65" s="4" t="s">
        <v>49</v>
      </c>
      <c r="F65" s="4" t="s">
        <v>72</v>
      </c>
      <c r="G65" s="7">
        <v>34</v>
      </c>
      <c r="H65" s="8">
        <v>0.8</v>
      </c>
      <c r="I65" s="8">
        <v>27.2</v>
      </c>
      <c r="J65" s="4" t="s">
        <v>44</v>
      </c>
      <c r="K65" s="4"/>
    </row>
    <row r="66" spans="1:11">
      <c r="A66" s="4" t="s">
        <v>124</v>
      </c>
      <c r="B66" s="6">
        <v>46337</v>
      </c>
      <c r="C66" s="4" t="s">
        <v>52</v>
      </c>
      <c r="D66" s="4" t="s">
        <v>48</v>
      </c>
      <c r="E66" s="4" t="s">
        <v>54</v>
      </c>
      <c r="F66" s="4" t="s">
        <v>74</v>
      </c>
      <c r="G66" s="7">
        <v>47</v>
      </c>
      <c r="H66" s="8">
        <v>0.25</v>
      </c>
      <c r="I66" s="8">
        <v>11.75</v>
      </c>
      <c r="J66" s="4" t="s">
        <v>44</v>
      </c>
      <c r="K66" s="4"/>
    </row>
    <row r="67" spans="1:11">
      <c r="A67" s="4" t="s">
        <v>125</v>
      </c>
      <c r="B67" s="6">
        <v>46368</v>
      </c>
      <c r="C67" s="4" t="s">
        <v>57</v>
      </c>
      <c r="D67" s="4" t="s">
        <v>53</v>
      </c>
      <c r="E67" s="4" t="s">
        <v>58</v>
      </c>
      <c r="F67" s="4" t="s">
        <v>76</v>
      </c>
      <c r="G67" s="7">
        <v>60</v>
      </c>
      <c r="H67" s="8">
        <v>74.5</v>
      </c>
      <c r="I67" s="8">
        <v>4470</v>
      </c>
      <c r="J67" s="4" t="s">
        <v>60</v>
      </c>
      <c r="K67" s="4"/>
    </row>
    <row r="69" spans="1:11">
      <c r="A69" s="34" t="s">
        <v>126</v>
      </c>
      <c r="B69" s="34"/>
      <c r="C69" s="34"/>
      <c r="D69" s="34"/>
      <c r="E69" s="34"/>
      <c r="F69" s="34"/>
      <c r="G69" s="34"/>
      <c r="H69" s="34"/>
      <c r="I69" s="34"/>
      <c r="J69" s="34"/>
      <c r="K69" s="34"/>
    </row>
    <row r="70" spans="1:1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</row>
    <row r="71" spans="1:1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</row>
  </sheetData>
  <mergeCells count="4">
    <mergeCell ref="A1:K1"/>
    <mergeCell ref="A2:K2"/>
    <mergeCell ref="A4:K5"/>
    <mergeCell ref="A69:K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9"/>
  <sheetViews>
    <sheetView showGridLines="0" tabSelected="1" workbookViewId="0">
      <selection activeCell="H16" sqref="H16"/>
    </sheetView>
  </sheetViews>
  <sheetFormatPr defaultRowHeight="15"/>
  <cols>
    <col min="1" max="1" width="10.375" bestFit="1" customWidth="1"/>
    <col min="2" max="2" width="35.625" bestFit="1" customWidth="1"/>
    <col min="3" max="3" width="17" customWidth="1"/>
    <col min="4" max="10" width="16.125" customWidth="1"/>
  </cols>
  <sheetData>
    <row r="1" spans="1:10" ht="23.25">
      <c r="A1" s="16" t="s">
        <v>127</v>
      </c>
      <c r="B1" s="16"/>
      <c r="C1" s="16"/>
      <c r="D1" s="16"/>
      <c r="E1" s="16"/>
      <c r="F1" s="16"/>
      <c r="G1" s="16"/>
      <c r="H1" s="16"/>
      <c r="I1" s="16"/>
      <c r="J1" s="16"/>
    </row>
    <row r="2" spans="1:10">
      <c r="A2" s="17" t="s">
        <v>128</v>
      </c>
      <c r="B2" s="17"/>
      <c r="C2" s="17"/>
      <c r="D2" s="17"/>
      <c r="E2" s="17"/>
      <c r="F2" s="17"/>
      <c r="G2" s="17"/>
      <c r="H2" s="17"/>
      <c r="I2" s="17"/>
      <c r="J2" s="17"/>
    </row>
    <row r="4" spans="1:10">
      <c r="A4" s="32" t="s">
        <v>129</v>
      </c>
      <c r="B4" s="19"/>
      <c r="C4" s="19"/>
      <c r="D4" s="19"/>
      <c r="E4" s="19"/>
      <c r="F4" s="19"/>
      <c r="G4" s="19"/>
      <c r="H4" s="19"/>
      <c r="I4" s="19"/>
      <c r="J4" s="20"/>
    </row>
    <row r="5" spans="1:10">
      <c r="A5" s="33"/>
      <c r="B5" s="23"/>
      <c r="C5" s="23"/>
      <c r="D5" s="23"/>
      <c r="E5" s="23"/>
      <c r="F5" s="23"/>
      <c r="G5" s="23"/>
      <c r="H5" s="23"/>
      <c r="I5" s="23"/>
      <c r="J5" s="24"/>
    </row>
    <row r="7" spans="1:10">
      <c r="A7" s="5" t="s">
        <v>130</v>
      </c>
      <c r="B7" s="5" t="s">
        <v>131</v>
      </c>
      <c r="C7" s="5" t="s">
        <v>132</v>
      </c>
      <c r="D7" s="5" t="s">
        <v>133</v>
      </c>
      <c r="E7" s="5" t="s">
        <v>134</v>
      </c>
      <c r="F7" s="5" t="s">
        <v>135</v>
      </c>
      <c r="G7" s="5" t="s">
        <v>136</v>
      </c>
      <c r="H7" s="5" t="s">
        <v>137</v>
      </c>
      <c r="I7" s="5" t="s">
        <v>138</v>
      </c>
      <c r="J7" s="5" t="s">
        <v>139</v>
      </c>
    </row>
    <row r="8" spans="1:10">
      <c r="A8" s="4">
        <v>1</v>
      </c>
      <c r="B8" s="4" t="s">
        <v>140</v>
      </c>
      <c r="C8" s="4" t="s">
        <v>141</v>
      </c>
      <c r="D8" s="9"/>
      <c r="E8" s="9"/>
      <c r="F8" s="10"/>
      <c r="G8" s="9"/>
      <c r="H8" s="9"/>
      <c r="I8" s="9"/>
      <c r="J8" s="9"/>
    </row>
    <row r="9" spans="1:10">
      <c r="A9" s="4">
        <v>2</v>
      </c>
      <c r="B9" s="4" t="s">
        <v>142</v>
      </c>
      <c r="C9" s="4" t="s">
        <v>143</v>
      </c>
      <c r="D9" s="9"/>
      <c r="E9" s="9"/>
      <c r="F9" s="10"/>
      <c r="G9" s="9"/>
      <c r="H9" s="9"/>
      <c r="I9" s="9"/>
      <c r="J9" s="9"/>
    </row>
    <row r="10" spans="1:10">
      <c r="A10" s="4">
        <v>3</v>
      </c>
      <c r="B10" s="4" t="s">
        <v>144</v>
      </c>
      <c r="C10" s="4" t="s">
        <v>145</v>
      </c>
      <c r="D10" s="9"/>
      <c r="E10" s="9"/>
      <c r="F10" s="10"/>
      <c r="G10" s="9"/>
      <c r="H10" s="9"/>
      <c r="I10" s="9"/>
      <c r="J10" s="9"/>
    </row>
    <row r="11" spans="1:10">
      <c r="A11" s="4">
        <v>4</v>
      </c>
      <c r="B11" s="4" t="s">
        <v>146</v>
      </c>
      <c r="C11" s="4" t="s">
        <v>147</v>
      </c>
      <c r="D11" s="9"/>
      <c r="E11" s="9"/>
      <c r="F11" s="10"/>
      <c r="G11" s="9"/>
      <c r="H11" s="9"/>
      <c r="I11" s="9"/>
      <c r="J11" s="9"/>
    </row>
    <row r="12" spans="1:10">
      <c r="A12" s="4">
        <v>5</v>
      </c>
      <c r="B12" s="4" t="s">
        <v>148</v>
      </c>
      <c r="C12" s="4" t="s">
        <v>141</v>
      </c>
      <c r="D12" s="9"/>
      <c r="E12" s="9"/>
      <c r="F12" s="11"/>
      <c r="G12" s="9"/>
      <c r="H12" s="9"/>
      <c r="I12" s="9"/>
      <c r="J12" s="9"/>
    </row>
    <row r="13" spans="1:10">
      <c r="A13" s="4">
        <v>6</v>
      </c>
      <c r="B13" s="4" t="s">
        <v>149</v>
      </c>
      <c r="C13" s="4" t="s">
        <v>143</v>
      </c>
      <c r="D13" s="9"/>
      <c r="E13" s="9"/>
      <c r="F13" s="11"/>
      <c r="G13" s="9"/>
      <c r="H13" s="9"/>
      <c r="I13" s="9"/>
      <c r="J13" s="9"/>
    </row>
    <row r="14" spans="1:10">
      <c r="A14" s="4">
        <v>7</v>
      </c>
      <c r="B14" s="4" t="s">
        <v>150</v>
      </c>
      <c r="C14" s="4" t="s">
        <v>151</v>
      </c>
      <c r="D14" s="9"/>
      <c r="E14" s="9"/>
      <c r="F14" s="11"/>
      <c r="G14" s="9"/>
      <c r="H14" s="9"/>
      <c r="I14" s="9"/>
      <c r="J14" s="9"/>
    </row>
    <row r="15" spans="1:10">
      <c r="A15" s="4">
        <v>8</v>
      </c>
      <c r="B15" s="4" t="s">
        <v>152</v>
      </c>
      <c r="C15" s="4" t="s">
        <v>153</v>
      </c>
      <c r="D15" s="9"/>
      <c r="E15" s="9"/>
      <c r="F15" s="11"/>
      <c r="G15" s="9"/>
      <c r="H15" s="9"/>
      <c r="I15" s="9"/>
      <c r="J15" s="9"/>
    </row>
    <row r="16" spans="1:10">
      <c r="A16" s="4">
        <v>9</v>
      </c>
      <c r="B16" s="4" t="s">
        <v>154</v>
      </c>
      <c r="C16" s="4" t="s">
        <v>155</v>
      </c>
      <c r="D16" s="9"/>
      <c r="E16" s="9"/>
      <c r="F16" s="11"/>
      <c r="G16" s="9"/>
      <c r="H16" s="9"/>
      <c r="I16" s="9"/>
      <c r="J16" s="9"/>
    </row>
    <row r="17" spans="1:10">
      <c r="A17" s="4">
        <v>10</v>
      </c>
      <c r="B17" s="4" t="s">
        <v>156</v>
      </c>
      <c r="C17" s="4" t="s">
        <v>155</v>
      </c>
      <c r="D17" s="9"/>
      <c r="E17" s="9"/>
      <c r="F17" s="11"/>
      <c r="G17" s="9"/>
      <c r="H17" s="9"/>
      <c r="I17" s="9"/>
      <c r="J17" s="9"/>
    </row>
    <row r="20" spans="1:10">
      <c r="A20" s="5" t="s">
        <v>32</v>
      </c>
      <c r="B20" s="5" t="s">
        <v>157</v>
      </c>
      <c r="C20" s="5" t="s">
        <v>158</v>
      </c>
      <c r="D20" s="5" t="s">
        <v>159</v>
      </c>
      <c r="E20" s="5" t="s">
        <v>160</v>
      </c>
      <c r="F20" s="5" t="s">
        <v>161</v>
      </c>
      <c r="H20" s="5" t="s">
        <v>31</v>
      </c>
      <c r="I20" s="5" t="s">
        <v>162</v>
      </c>
      <c r="J20" s="5" t="s">
        <v>163</v>
      </c>
    </row>
    <row r="21" spans="1:10">
      <c r="A21" s="4" t="s">
        <v>42</v>
      </c>
      <c r="B21" s="9"/>
      <c r="C21" s="10"/>
      <c r="D21" s="10"/>
      <c r="E21" s="10"/>
      <c r="F21" s="10"/>
      <c r="H21" s="4" t="s">
        <v>41</v>
      </c>
      <c r="I21" s="9"/>
      <c r="J21" s="9"/>
    </row>
    <row r="22" spans="1:10">
      <c r="A22" s="4" t="s">
        <v>49</v>
      </c>
      <c r="B22" s="9"/>
      <c r="C22" s="10"/>
      <c r="D22" s="10"/>
      <c r="E22" s="10"/>
      <c r="F22" s="10"/>
      <c r="H22" s="4" t="s">
        <v>48</v>
      </c>
      <c r="I22" s="9"/>
      <c r="J22" s="9"/>
    </row>
    <row r="23" spans="1:10">
      <c r="A23" s="4" t="s">
        <v>54</v>
      </c>
      <c r="B23" s="9"/>
      <c r="C23" s="10"/>
      <c r="D23" s="10"/>
      <c r="E23" s="10"/>
      <c r="F23" s="10"/>
      <c r="H23" s="4" t="s">
        <v>53</v>
      </c>
      <c r="I23" s="9"/>
      <c r="J23" s="9"/>
    </row>
    <row r="24" spans="1:10">
      <c r="A24" s="4" t="s">
        <v>58</v>
      </c>
      <c r="B24" s="9"/>
      <c r="C24" s="10"/>
      <c r="D24" s="10"/>
      <c r="E24" s="10"/>
      <c r="F24" s="10"/>
    </row>
    <row r="27" spans="1:10">
      <c r="A27" s="34" t="s">
        <v>164</v>
      </c>
      <c r="B27" s="34"/>
      <c r="C27" s="34"/>
      <c r="D27" s="34"/>
      <c r="E27" s="34"/>
      <c r="F27" s="34"/>
      <c r="G27" s="34"/>
      <c r="H27" s="34"/>
      <c r="I27" s="34"/>
      <c r="J27" s="34"/>
    </row>
    <row r="28" spans="1:10">
      <c r="A28" s="34"/>
      <c r="B28" s="34"/>
      <c r="C28" s="34"/>
      <c r="D28" s="34"/>
      <c r="E28" s="34"/>
      <c r="F28" s="34"/>
      <c r="G28" s="34"/>
      <c r="H28" s="34"/>
      <c r="I28" s="34"/>
      <c r="J28" s="34"/>
    </row>
    <row r="29" spans="1:10">
      <c r="A29" s="34"/>
      <c r="B29" s="34"/>
      <c r="C29" s="34"/>
      <c r="D29" s="34"/>
      <c r="E29" s="34"/>
      <c r="F29" s="34"/>
      <c r="G29" s="34"/>
      <c r="H29" s="34"/>
      <c r="I29" s="34"/>
      <c r="J29" s="34"/>
    </row>
  </sheetData>
  <mergeCells count="4">
    <mergeCell ref="A1:J1"/>
    <mergeCell ref="A2:J2"/>
    <mergeCell ref="A4:J5"/>
    <mergeCell ref="A27:J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showGridLines="0" workbookViewId="0">
      <selection activeCell="A17" sqref="A17:H20"/>
    </sheetView>
  </sheetViews>
  <sheetFormatPr defaultRowHeight="15"/>
  <cols>
    <col min="1" max="1" width="9" customWidth="1"/>
    <col min="2" max="2" width="25" customWidth="1"/>
    <col min="3" max="3" width="40.625" customWidth="1"/>
    <col min="4" max="4" width="26" customWidth="1"/>
    <col min="5" max="5" width="31" customWidth="1"/>
    <col min="6" max="6" width="15" customWidth="1"/>
    <col min="7" max="7" width="22" customWidth="1"/>
    <col min="8" max="8" width="28" customWidth="1"/>
  </cols>
  <sheetData>
    <row r="1" spans="1:8" ht="23.25">
      <c r="A1" s="16" t="s">
        <v>165</v>
      </c>
      <c r="B1" s="16"/>
      <c r="C1" s="16"/>
      <c r="D1" s="16"/>
      <c r="E1" s="16"/>
      <c r="F1" s="16"/>
      <c r="G1" s="16"/>
      <c r="H1" s="16"/>
    </row>
    <row r="2" spans="1:8">
      <c r="A2" s="17" t="s">
        <v>166</v>
      </c>
      <c r="B2" s="17"/>
      <c r="C2" s="17"/>
      <c r="D2" s="17"/>
      <c r="E2" s="17"/>
      <c r="F2" s="17"/>
      <c r="G2" s="17"/>
      <c r="H2" s="17"/>
    </row>
    <row r="4" spans="1:8">
      <c r="A4" s="32" t="s">
        <v>167</v>
      </c>
      <c r="B4" s="19"/>
      <c r="C4" s="19"/>
      <c r="D4" s="19"/>
      <c r="E4" s="19"/>
      <c r="F4" s="19"/>
      <c r="G4" s="19"/>
      <c r="H4" s="20"/>
    </row>
    <row r="5" spans="1:8">
      <c r="A5" s="33"/>
      <c r="B5" s="23"/>
      <c r="C5" s="23"/>
      <c r="D5" s="23"/>
      <c r="E5" s="23"/>
      <c r="F5" s="23"/>
      <c r="G5" s="23"/>
      <c r="H5" s="24"/>
    </row>
    <row r="7" spans="1:8">
      <c r="A7" s="5" t="s">
        <v>168</v>
      </c>
      <c r="B7" s="5" t="s">
        <v>169</v>
      </c>
      <c r="C7" s="5" t="s">
        <v>170</v>
      </c>
      <c r="D7" s="5" t="s">
        <v>171</v>
      </c>
      <c r="E7" s="5" t="s">
        <v>172</v>
      </c>
      <c r="F7" s="5" t="s">
        <v>135</v>
      </c>
      <c r="G7" s="5" t="s">
        <v>173</v>
      </c>
      <c r="H7" s="5" t="s">
        <v>174</v>
      </c>
    </row>
    <row r="8" spans="1:8">
      <c r="A8" s="12">
        <v>1</v>
      </c>
      <c r="B8" s="12" t="s">
        <v>175</v>
      </c>
      <c r="C8" s="12" t="s">
        <v>176</v>
      </c>
      <c r="D8" s="9"/>
      <c r="E8" s="9"/>
      <c r="F8" s="9"/>
      <c r="G8" s="9"/>
      <c r="H8" s="9"/>
    </row>
    <row r="9" spans="1:8">
      <c r="A9" s="12">
        <v>2</v>
      </c>
      <c r="B9" s="12" t="s">
        <v>177</v>
      </c>
      <c r="C9" s="12" t="s">
        <v>178</v>
      </c>
      <c r="D9" s="9"/>
      <c r="E9" s="9"/>
      <c r="F9" s="9"/>
      <c r="G9" s="9"/>
      <c r="H9" s="9"/>
    </row>
    <row r="10" spans="1:8">
      <c r="A10" s="12">
        <v>3</v>
      </c>
      <c r="B10" s="12" t="s">
        <v>179</v>
      </c>
      <c r="C10" s="12" t="s">
        <v>180</v>
      </c>
      <c r="D10" s="9"/>
      <c r="E10" s="9"/>
      <c r="F10" s="9"/>
      <c r="G10" s="9"/>
      <c r="H10" s="9"/>
    </row>
    <row r="11" spans="1:8">
      <c r="A11" s="12">
        <v>4</v>
      </c>
      <c r="B11" s="12" t="s">
        <v>181</v>
      </c>
      <c r="C11" s="12" t="s">
        <v>182</v>
      </c>
      <c r="D11" s="9"/>
      <c r="E11" s="9"/>
      <c r="F11" s="9"/>
      <c r="G11" s="9"/>
      <c r="H11" s="9"/>
    </row>
    <row r="12" spans="1:8">
      <c r="A12" s="12">
        <v>5</v>
      </c>
      <c r="B12" s="12" t="s">
        <v>183</v>
      </c>
      <c r="C12" s="12" t="s">
        <v>184</v>
      </c>
      <c r="D12" s="9"/>
      <c r="E12" s="9"/>
      <c r="F12" s="9"/>
      <c r="G12" s="9"/>
      <c r="H12" s="9"/>
    </row>
    <row r="13" spans="1:8">
      <c r="A13" s="12">
        <v>6</v>
      </c>
      <c r="B13" s="12" t="s">
        <v>156</v>
      </c>
      <c r="C13" s="12" t="s">
        <v>185</v>
      </c>
      <c r="D13" s="9"/>
      <c r="E13" s="9"/>
      <c r="F13" s="9"/>
      <c r="G13" s="9"/>
      <c r="H13" s="9"/>
    </row>
    <row r="14" spans="1:8">
      <c r="A14" s="12">
        <v>7</v>
      </c>
      <c r="B14" s="12" t="s">
        <v>186</v>
      </c>
      <c r="C14" s="12" t="s">
        <v>187</v>
      </c>
      <c r="D14" s="9"/>
      <c r="E14" s="9"/>
      <c r="F14" s="9"/>
      <c r="G14" s="9"/>
      <c r="H14" s="9"/>
    </row>
    <row r="17" spans="1:8">
      <c r="A17" s="34" t="s">
        <v>188</v>
      </c>
      <c r="B17" s="34"/>
      <c r="C17" s="34"/>
      <c r="D17" s="34"/>
      <c r="E17" s="34"/>
      <c r="F17" s="34"/>
      <c r="G17" s="34"/>
      <c r="H17" s="34"/>
    </row>
    <row r="18" spans="1:8">
      <c r="A18" s="34"/>
      <c r="B18" s="34"/>
      <c r="C18" s="34"/>
      <c r="D18" s="34"/>
      <c r="E18" s="34"/>
      <c r="F18" s="34"/>
      <c r="G18" s="34"/>
      <c r="H18" s="34"/>
    </row>
    <row r="19" spans="1:8">
      <c r="A19" s="34"/>
      <c r="B19" s="34"/>
      <c r="C19" s="34"/>
      <c r="D19" s="34"/>
      <c r="E19" s="34"/>
      <c r="F19" s="34"/>
      <c r="G19" s="34"/>
      <c r="H19" s="34"/>
    </row>
    <row r="20" spans="1:8">
      <c r="A20" s="34"/>
      <c r="B20" s="34"/>
      <c r="C20" s="34"/>
      <c r="D20" s="34"/>
      <c r="E20" s="34"/>
      <c r="F20" s="34"/>
      <c r="G20" s="34"/>
      <c r="H20" s="34"/>
    </row>
  </sheetData>
  <mergeCells count="4">
    <mergeCell ref="A1:H1"/>
    <mergeCell ref="A2:H2"/>
    <mergeCell ref="A4:H5"/>
    <mergeCell ref="A17:H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8"/>
  <sheetViews>
    <sheetView showGridLines="0" workbookViewId="0">
      <selection sqref="A1:G1"/>
    </sheetView>
  </sheetViews>
  <sheetFormatPr defaultRowHeight="15"/>
  <cols>
    <col min="1" max="1" width="23" customWidth="1"/>
    <col min="2" max="2" width="18" customWidth="1"/>
    <col min="3" max="3" width="14" customWidth="1"/>
    <col min="4" max="4" width="4" customWidth="1"/>
    <col min="5" max="6" width="28" customWidth="1"/>
    <col min="7" max="7" width="19" customWidth="1"/>
  </cols>
  <sheetData>
    <row r="1" spans="1:7" ht="33.950000000000003" customHeight="1">
      <c r="A1" s="16" t="s">
        <v>189</v>
      </c>
      <c r="B1" s="16"/>
      <c r="C1" s="16"/>
      <c r="D1" s="16"/>
      <c r="E1" s="16"/>
      <c r="F1" s="16"/>
      <c r="G1" s="16"/>
    </row>
    <row r="2" spans="1:7" ht="30" customHeight="1">
      <c r="A2" s="17" t="s">
        <v>190</v>
      </c>
      <c r="B2" s="17"/>
      <c r="C2" s="17"/>
      <c r="D2" s="17"/>
      <c r="E2" s="17"/>
      <c r="F2" s="17"/>
      <c r="G2" s="17"/>
    </row>
    <row r="4" spans="1:7">
      <c r="A4" s="32" t="s">
        <v>191</v>
      </c>
      <c r="B4" s="19"/>
      <c r="C4" s="19"/>
      <c r="D4" s="19"/>
      <c r="E4" s="19"/>
      <c r="F4" s="19"/>
      <c r="G4" s="20"/>
    </row>
    <row r="5" spans="1:7">
      <c r="A5" s="33"/>
      <c r="B5" s="23"/>
      <c r="C5" s="23"/>
      <c r="D5" s="23"/>
      <c r="E5" s="23"/>
      <c r="F5" s="23"/>
      <c r="G5" s="24"/>
    </row>
    <row r="7" spans="1:7" ht="30" customHeight="1">
      <c r="A7" s="5" t="s">
        <v>192</v>
      </c>
      <c r="B7" s="5" t="s">
        <v>193</v>
      </c>
      <c r="C7" s="5" t="s">
        <v>194</v>
      </c>
      <c r="E7" s="5" t="s">
        <v>195</v>
      </c>
      <c r="F7" s="5" t="s">
        <v>134</v>
      </c>
      <c r="G7" s="5" t="s">
        <v>135</v>
      </c>
    </row>
    <row r="8" spans="1:7">
      <c r="A8" s="4" t="s">
        <v>196</v>
      </c>
      <c r="B8" s="8">
        <v>24000</v>
      </c>
      <c r="C8" s="4" t="s">
        <v>197</v>
      </c>
      <c r="E8" s="4" t="s">
        <v>198</v>
      </c>
      <c r="F8" s="9"/>
      <c r="G8" s="14"/>
    </row>
    <row r="9" spans="1:7">
      <c r="A9" s="4" t="s">
        <v>199</v>
      </c>
      <c r="B9" s="13">
        <v>4.7500000000000001E-2</v>
      </c>
      <c r="C9" s="4" t="s">
        <v>200</v>
      </c>
      <c r="E9" s="4" t="s">
        <v>201</v>
      </c>
      <c r="F9" s="9"/>
      <c r="G9" s="15"/>
    </row>
    <row r="10" spans="1:7">
      <c r="A10" s="4" t="s">
        <v>202</v>
      </c>
      <c r="B10" s="4">
        <v>5</v>
      </c>
      <c r="C10" s="4" t="s">
        <v>203</v>
      </c>
      <c r="E10" s="4" t="s">
        <v>204</v>
      </c>
      <c r="F10" s="9"/>
      <c r="G10" s="10"/>
    </row>
    <row r="11" spans="1:7">
      <c r="A11" s="4" t="s">
        <v>205</v>
      </c>
      <c r="B11" s="4">
        <v>12</v>
      </c>
      <c r="C11" s="4" t="s">
        <v>206</v>
      </c>
      <c r="E11" s="4" t="s">
        <v>207</v>
      </c>
      <c r="F11" s="9"/>
      <c r="G11" s="10"/>
    </row>
    <row r="12" spans="1:7">
      <c r="A12" s="4" t="s">
        <v>208</v>
      </c>
      <c r="B12" s="4">
        <v>0</v>
      </c>
      <c r="C12" s="4" t="s">
        <v>197</v>
      </c>
    </row>
    <row r="15" spans="1:7">
      <c r="A15" s="34" t="s">
        <v>209</v>
      </c>
      <c r="B15" s="34"/>
      <c r="C15" s="34"/>
      <c r="D15" s="34"/>
      <c r="E15" s="34"/>
      <c r="F15" s="34"/>
      <c r="G15" s="34"/>
    </row>
    <row r="16" spans="1:7">
      <c r="A16" s="34"/>
      <c r="B16" s="34"/>
      <c r="C16" s="34"/>
      <c r="D16" s="34"/>
      <c r="E16" s="34"/>
      <c r="F16" s="34"/>
      <c r="G16" s="34"/>
    </row>
    <row r="17" spans="1:7">
      <c r="A17" s="34"/>
      <c r="B17" s="34"/>
      <c r="C17" s="34"/>
      <c r="D17" s="34"/>
      <c r="E17" s="34"/>
      <c r="F17" s="34"/>
      <c r="G17" s="34"/>
    </row>
    <row r="18" spans="1:7">
      <c r="A18" s="34"/>
      <c r="B18" s="34"/>
      <c r="C18" s="34"/>
      <c r="D18" s="34"/>
      <c r="E18" s="34"/>
      <c r="F18" s="34"/>
      <c r="G18" s="34"/>
    </row>
  </sheetData>
  <mergeCells count="4">
    <mergeCell ref="A1:G1"/>
    <mergeCell ref="A2:G2"/>
    <mergeCell ref="A4:G5"/>
    <mergeCell ref="A15:G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9"/>
  <sheetViews>
    <sheetView showGridLines="0" workbookViewId="0">
      <selection sqref="A1:G1"/>
    </sheetView>
  </sheetViews>
  <sheetFormatPr defaultRowHeight="15"/>
  <cols>
    <col min="1" max="1" width="23" customWidth="1"/>
    <col min="2" max="2" width="18" customWidth="1"/>
    <col min="3" max="3" width="17" customWidth="1"/>
    <col min="4" max="4" width="4" customWidth="1"/>
    <col min="5" max="6" width="28" customWidth="1"/>
    <col min="7" max="7" width="19" customWidth="1"/>
  </cols>
  <sheetData>
    <row r="1" spans="1:7" ht="33.950000000000003" customHeight="1">
      <c r="A1" s="16" t="s">
        <v>210</v>
      </c>
      <c r="B1" s="16"/>
      <c r="C1" s="16"/>
      <c r="D1" s="16"/>
      <c r="E1" s="16"/>
      <c r="F1" s="16"/>
      <c r="G1" s="16"/>
    </row>
    <row r="2" spans="1:7" ht="30" customHeight="1">
      <c r="A2" s="17" t="s">
        <v>211</v>
      </c>
      <c r="B2" s="17"/>
      <c r="C2" s="17"/>
      <c r="D2" s="17"/>
      <c r="E2" s="17"/>
      <c r="F2" s="17"/>
      <c r="G2" s="17"/>
    </row>
    <row r="4" spans="1:7">
      <c r="A4" s="32" t="s">
        <v>212</v>
      </c>
      <c r="B4" s="19"/>
      <c r="C4" s="19"/>
      <c r="D4" s="19"/>
      <c r="E4" s="19"/>
      <c r="F4" s="19"/>
      <c r="G4" s="20"/>
    </row>
    <row r="5" spans="1:7">
      <c r="A5" s="33"/>
      <c r="B5" s="23"/>
      <c r="C5" s="23"/>
      <c r="D5" s="23"/>
      <c r="E5" s="23"/>
      <c r="F5" s="23"/>
      <c r="G5" s="24"/>
    </row>
    <row r="7" spans="1:7" ht="30" customHeight="1">
      <c r="A7" s="5" t="s">
        <v>192</v>
      </c>
      <c r="B7" s="5" t="s">
        <v>193</v>
      </c>
      <c r="C7" s="5" t="s">
        <v>194</v>
      </c>
      <c r="E7" s="5" t="s">
        <v>195</v>
      </c>
      <c r="F7" s="5" t="s">
        <v>134</v>
      </c>
      <c r="G7" s="5" t="s">
        <v>135</v>
      </c>
    </row>
    <row r="8" spans="1:7">
      <c r="A8" s="4" t="s">
        <v>213</v>
      </c>
      <c r="B8" s="8">
        <v>1500</v>
      </c>
      <c r="C8" s="4" t="s">
        <v>197</v>
      </c>
      <c r="E8" s="4" t="s">
        <v>198</v>
      </c>
      <c r="F8" s="9"/>
      <c r="G8" s="14"/>
    </row>
    <row r="9" spans="1:7">
      <c r="A9" s="4" t="s">
        <v>214</v>
      </c>
      <c r="B9" s="8">
        <v>125</v>
      </c>
      <c r="C9" s="4" t="s">
        <v>197</v>
      </c>
      <c r="E9" s="4" t="s">
        <v>201</v>
      </c>
      <c r="F9" s="9"/>
      <c r="G9" s="15"/>
    </row>
    <row r="10" spans="1:7">
      <c r="A10" s="4" t="s">
        <v>199</v>
      </c>
      <c r="B10" s="13">
        <v>3.2000000000000001E-2</v>
      </c>
      <c r="C10" s="4" t="s">
        <v>200</v>
      </c>
      <c r="E10" s="4" t="s">
        <v>215</v>
      </c>
      <c r="F10" s="9"/>
      <c r="G10" s="10"/>
    </row>
    <row r="11" spans="1:7">
      <c r="A11" s="4" t="s">
        <v>202</v>
      </c>
      <c r="B11" s="4">
        <v>8</v>
      </c>
      <c r="C11" s="4" t="s">
        <v>203</v>
      </c>
      <c r="E11" s="4" t="s">
        <v>216</v>
      </c>
      <c r="F11" s="9"/>
      <c r="G11" s="10"/>
    </row>
    <row r="12" spans="1:7">
      <c r="A12" s="4" t="s">
        <v>217</v>
      </c>
      <c r="B12" s="4">
        <v>12</v>
      </c>
      <c r="C12" s="4" t="s">
        <v>206</v>
      </c>
    </row>
    <row r="13" spans="1:7">
      <c r="A13" s="4" t="s">
        <v>218</v>
      </c>
      <c r="B13" s="4">
        <v>0</v>
      </c>
      <c r="C13" s="4" t="s">
        <v>219</v>
      </c>
    </row>
    <row r="16" spans="1:7">
      <c r="A16" s="34" t="s">
        <v>220</v>
      </c>
      <c r="B16" s="34"/>
      <c r="C16" s="34"/>
      <c r="D16" s="34"/>
      <c r="E16" s="34"/>
      <c r="F16" s="34"/>
      <c r="G16" s="34"/>
    </row>
    <row r="17" spans="1:7">
      <c r="A17" s="34"/>
      <c r="B17" s="34"/>
      <c r="C17" s="34"/>
      <c r="D17" s="34"/>
      <c r="E17" s="34"/>
      <c r="F17" s="34"/>
      <c r="G17" s="34"/>
    </row>
    <row r="18" spans="1:7">
      <c r="A18" s="34"/>
      <c r="B18" s="34"/>
      <c r="C18" s="34"/>
      <c r="D18" s="34"/>
      <c r="E18" s="34"/>
      <c r="F18" s="34"/>
      <c r="G18" s="34"/>
    </row>
    <row r="19" spans="1:7">
      <c r="A19" s="34"/>
      <c r="B19" s="34"/>
      <c r="C19" s="34"/>
      <c r="D19" s="34"/>
      <c r="E19" s="34"/>
      <c r="F19" s="34"/>
      <c r="G19" s="34"/>
    </row>
  </sheetData>
  <mergeCells count="4">
    <mergeCell ref="A1:G1"/>
    <mergeCell ref="A2:G2"/>
    <mergeCell ref="A4:G5"/>
    <mergeCell ref="A16:G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0"/>
  <sheetViews>
    <sheetView showGridLines="0" workbookViewId="0">
      <selection sqref="A1:J1"/>
    </sheetView>
  </sheetViews>
  <sheetFormatPr defaultRowHeight="15"/>
  <cols>
    <col min="1" max="1" width="18" customWidth="1"/>
    <col min="2" max="2" width="15" customWidth="1"/>
    <col min="3" max="3" width="16" customWidth="1"/>
    <col min="4" max="4" width="18" customWidth="1"/>
    <col min="5" max="6" width="14" customWidth="1"/>
    <col min="7" max="7" width="15" customWidth="1"/>
    <col min="8" max="8" width="20" customWidth="1"/>
    <col min="9" max="9" width="27" customWidth="1"/>
    <col min="10" max="10" width="18" customWidth="1"/>
  </cols>
  <sheetData>
    <row r="1" spans="1:10" ht="33.950000000000003" customHeight="1">
      <c r="A1" s="16" t="s">
        <v>221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30" customHeight="1">
      <c r="A2" s="17" t="s">
        <v>222</v>
      </c>
      <c r="B2" s="17"/>
      <c r="C2" s="17"/>
      <c r="D2" s="17"/>
      <c r="E2" s="17"/>
      <c r="F2" s="17"/>
      <c r="G2" s="17"/>
      <c r="H2" s="17"/>
      <c r="I2" s="17"/>
      <c r="J2" s="17"/>
    </row>
    <row r="4" spans="1:10">
      <c r="A4" s="32" t="s">
        <v>223</v>
      </c>
      <c r="B4" s="19"/>
      <c r="C4" s="19"/>
      <c r="D4" s="19"/>
      <c r="E4" s="19"/>
      <c r="F4" s="19"/>
      <c r="G4" s="19"/>
      <c r="H4" s="19"/>
      <c r="I4" s="19"/>
      <c r="J4" s="20"/>
    </row>
    <row r="5" spans="1:10">
      <c r="A5" s="33"/>
      <c r="B5" s="23"/>
      <c r="C5" s="23"/>
      <c r="D5" s="23"/>
      <c r="E5" s="23"/>
      <c r="F5" s="23"/>
      <c r="G5" s="23"/>
      <c r="H5" s="23"/>
      <c r="I5" s="23"/>
      <c r="J5" s="24"/>
    </row>
    <row r="7" spans="1:10" ht="30" customHeight="1">
      <c r="A7" s="5" t="s">
        <v>224</v>
      </c>
      <c r="B7" s="5" t="s">
        <v>225</v>
      </c>
      <c r="C7" s="5" t="s">
        <v>213</v>
      </c>
      <c r="D7" s="5" t="s">
        <v>226</v>
      </c>
      <c r="E7" s="5" t="s">
        <v>199</v>
      </c>
      <c r="F7" s="5" t="s">
        <v>227</v>
      </c>
      <c r="G7" s="5" t="s">
        <v>228</v>
      </c>
      <c r="H7" s="5" t="s">
        <v>229</v>
      </c>
      <c r="I7" s="5" t="s">
        <v>134</v>
      </c>
      <c r="J7" s="5" t="s">
        <v>135</v>
      </c>
    </row>
    <row r="8" spans="1:10">
      <c r="A8" s="4" t="s">
        <v>230</v>
      </c>
      <c r="B8" s="4" t="s">
        <v>231</v>
      </c>
      <c r="C8" s="8">
        <v>0</v>
      </c>
      <c r="D8" s="8">
        <v>24000</v>
      </c>
      <c r="E8" s="13">
        <v>4.7500000000000001E-2</v>
      </c>
      <c r="F8" s="4">
        <v>5</v>
      </c>
      <c r="G8" s="4">
        <v>12</v>
      </c>
      <c r="H8" s="4" t="s">
        <v>232</v>
      </c>
      <c r="I8" s="9"/>
      <c r="J8" s="10"/>
    </row>
    <row r="9" spans="1:10">
      <c r="A9" s="4" t="s">
        <v>233</v>
      </c>
      <c r="B9" s="4" t="s">
        <v>231</v>
      </c>
      <c r="C9" s="8">
        <v>0</v>
      </c>
      <c r="D9" s="8">
        <v>24000</v>
      </c>
      <c r="E9" s="13">
        <v>5.8999999999999997E-2</v>
      </c>
      <c r="F9" s="4">
        <v>5</v>
      </c>
      <c r="G9" s="4">
        <v>12</v>
      </c>
      <c r="H9" s="4" t="s">
        <v>234</v>
      </c>
      <c r="I9" s="9"/>
      <c r="J9" s="10"/>
    </row>
    <row r="10" spans="1:10">
      <c r="A10" s="4" t="s">
        <v>235</v>
      </c>
      <c r="B10" s="4" t="s">
        <v>231</v>
      </c>
      <c r="C10" s="8">
        <v>0</v>
      </c>
      <c r="D10" s="8">
        <v>24000</v>
      </c>
      <c r="E10" s="13">
        <v>4.7500000000000001E-2</v>
      </c>
      <c r="F10" s="4">
        <v>7</v>
      </c>
      <c r="G10" s="4">
        <v>12</v>
      </c>
      <c r="H10" s="4" t="s">
        <v>202</v>
      </c>
      <c r="I10" s="9"/>
      <c r="J10" s="10"/>
    </row>
    <row r="11" spans="1:10">
      <c r="A11" s="4" t="s">
        <v>236</v>
      </c>
      <c r="B11" s="4" t="s">
        <v>237</v>
      </c>
      <c r="C11" s="8">
        <v>1500</v>
      </c>
      <c r="D11" s="8">
        <v>125</v>
      </c>
      <c r="E11" s="13">
        <v>3.2000000000000001E-2</v>
      </c>
      <c r="F11" s="4">
        <v>8</v>
      </c>
      <c r="G11" s="4">
        <v>12</v>
      </c>
      <c r="H11" s="4" t="s">
        <v>232</v>
      </c>
      <c r="I11" s="9"/>
      <c r="J11" s="10"/>
    </row>
    <row r="12" spans="1:10">
      <c r="A12" s="4" t="s">
        <v>238</v>
      </c>
      <c r="B12" s="4" t="s">
        <v>237</v>
      </c>
      <c r="C12" s="8">
        <v>1500</v>
      </c>
      <c r="D12" s="8">
        <v>175</v>
      </c>
      <c r="E12" s="13">
        <v>3.2000000000000001E-2</v>
      </c>
      <c r="F12" s="4">
        <v>8</v>
      </c>
      <c r="G12" s="4">
        <v>12</v>
      </c>
      <c r="H12" s="4" t="s">
        <v>239</v>
      </c>
      <c r="I12" s="9"/>
      <c r="J12" s="10"/>
    </row>
    <row r="13" spans="1:10">
      <c r="A13" s="4" t="s">
        <v>240</v>
      </c>
      <c r="B13" s="4" t="s">
        <v>237</v>
      </c>
      <c r="C13" s="8">
        <v>1500</v>
      </c>
      <c r="D13" s="8">
        <v>125</v>
      </c>
      <c r="E13" s="13">
        <v>3.2000000000000001E-2</v>
      </c>
      <c r="F13" s="4">
        <v>12</v>
      </c>
      <c r="G13" s="4">
        <v>12</v>
      </c>
      <c r="H13" s="4" t="s">
        <v>202</v>
      </c>
      <c r="I13" s="9"/>
      <c r="J13" s="10"/>
    </row>
    <row r="16" spans="1:10">
      <c r="A16" s="34" t="s">
        <v>241</v>
      </c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mergeCells count="4">
    <mergeCell ref="A1:J1"/>
    <mergeCell ref="A2:J2"/>
    <mergeCell ref="A4:J5"/>
    <mergeCell ref="A16:J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7"/>
  <sheetViews>
    <sheetView showGridLines="0" workbookViewId="0">
      <selection activeCell="B3" sqref="B1:C1048576"/>
    </sheetView>
  </sheetViews>
  <sheetFormatPr defaultRowHeight="15"/>
  <cols>
    <col min="1" max="1" width="36.375" customWidth="1"/>
    <col min="2" max="3" width="26.875" customWidth="1"/>
    <col min="4" max="8" width="17" customWidth="1"/>
  </cols>
  <sheetData>
    <row r="1" spans="1:8" ht="33.950000000000003" customHeight="1">
      <c r="A1" s="16" t="s">
        <v>242</v>
      </c>
      <c r="B1" s="16"/>
      <c r="C1" s="16"/>
      <c r="D1" s="16"/>
      <c r="E1" s="16"/>
      <c r="F1" s="16"/>
      <c r="G1" s="16"/>
      <c r="H1" s="16"/>
    </row>
    <row r="2" spans="1:8" ht="30" customHeight="1">
      <c r="A2" s="17" t="s">
        <v>243</v>
      </c>
      <c r="B2" s="17"/>
      <c r="C2" s="17"/>
      <c r="D2" s="17"/>
      <c r="E2" s="17"/>
      <c r="F2" s="17"/>
      <c r="G2" s="17"/>
      <c r="H2" s="17"/>
    </row>
    <row r="4" spans="1:8" ht="24" customHeight="1">
      <c r="A4" s="18" t="s">
        <v>244</v>
      </c>
      <c r="B4" s="18"/>
      <c r="C4" s="18"/>
      <c r="D4" s="18"/>
      <c r="E4" s="18"/>
      <c r="F4" s="18"/>
      <c r="G4" s="18"/>
      <c r="H4" s="18"/>
    </row>
    <row r="5" spans="1:8">
      <c r="A5" s="9" t="s">
        <v>14</v>
      </c>
      <c r="B5" s="34" t="s">
        <v>245</v>
      </c>
      <c r="C5" s="34"/>
      <c r="D5" s="34"/>
      <c r="E5" s="34"/>
      <c r="F5" s="34"/>
      <c r="G5" s="34"/>
      <c r="H5" s="34"/>
    </row>
    <row r="6" spans="1:8">
      <c r="A6" s="9" t="s">
        <v>16</v>
      </c>
      <c r="B6" s="34" t="s">
        <v>246</v>
      </c>
      <c r="C6" s="34"/>
      <c r="D6" s="34"/>
      <c r="E6" s="34"/>
      <c r="F6" s="34"/>
      <c r="G6" s="34"/>
      <c r="H6" s="34"/>
    </row>
    <row r="7" spans="1:8">
      <c r="A7" s="9" t="s">
        <v>18</v>
      </c>
      <c r="B7" s="34" t="s">
        <v>247</v>
      </c>
      <c r="C7" s="34"/>
      <c r="D7" s="34"/>
      <c r="E7" s="34"/>
      <c r="F7" s="34"/>
      <c r="G7" s="34"/>
      <c r="H7" s="34"/>
    </row>
    <row r="8" spans="1:8">
      <c r="A8" s="9" t="s">
        <v>20</v>
      </c>
      <c r="B8" s="34" t="s">
        <v>248</v>
      </c>
      <c r="C8" s="34"/>
      <c r="D8" s="34"/>
      <c r="E8" s="34"/>
      <c r="F8" s="34"/>
      <c r="G8" s="34"/>
      <c r="H8" s="34"/>
    </row>
    <row r="9" spans="1:8">
      <c r="A9" s="9" t="s">
        <v>22</v>
      </c>
      <c r="B9" s="34" t="s">
        <v>249</v>
      </c>
      <c r="C9" s="34"/>
      <c r="D9" s="34"/>
      <c r="E9" s="34"/>
      <c r="F9" s="34"/>
      <c r="G9" s="34"/>
      <c r="H9" s="34"/>
    </row>
    <row r="10" spans="1:8">
      <c r="A10" s="9" t="s">
        <v>250</v>
      </c>
      <c r="B10" s="34" t="s">
        <v>251</v>
      </c>
      <c r="C10" s="34"/>
      <c r="D10" s="34"/>
      <c r="E10" s="34"/>
      <c r="F10" s="34"/>
      <c r="G10" s="34"/>
      <c r="H10" s="34"/>
    </row>
    <row r="11" spans="1:8">
      <c r="A11" s="9" t="s">
        <v>252</v>
      </c>
      <c r="B11" s="34" t="s">
        <v>253</v>
      </c>
      <c r="C11" s="34"/>
      <c r="D11" s="34"/>
      <c r="E11" s="34"/>
      <c r="F11" s="34"/>
      <c r="G11" s="34"/>
      <c r="H11" s="34"/>
    </row>
    <row r="12" spans="1:8">
      <c r="A12" s="9" t="s">
        <v>254</v>
      </c>
      <c r="B12" s="34" t="s">
        <v>255</v>
      </c>
      <c r="C12" s="34"/>
      <c r="D12" s="34"/>
      <c r="E12" s="34"/>
      <c r="F12" s="34"/>
      <c r="G12" s="34"/>
      <c r="H12" s="34"/>
    </row>
    <row r="13" spans="1:8">
      <c r="A13" s="9" t="s">
        <v>256</v>
      </c>
      <c r="B13" s="34" t="s">
        <v>257</v>
      </c>
      <c r="C13" s="34"/>
      <c r="D13" s="34"/>
      <c r="E13" s="34"/>
      <c r="F13" s="34"/>
      <c r="G13" s="34"/>
      <c r="H13" s="34"/>
    </row>
    <row r="14" spans="1:8">
      <c r="A14" s="9" t="s">
        <v>258</v>
      </c>
      <c r="B14" s="34" t="s">
        <v>259</v>
      </c>
      <c r="C14" s="34"/>
      <c r="D14" s="34"/>
      <c r="E14" s="34"/>
      <c r="F14" s="34"/>
      <c r="G14" s="34"/>
      <c r="H14" s="34"/>
    </row>
    <row r="17" spans="1:8" ht="30" customHeight="1">
      <c r="A17" s="5" t="s">
        <v>260</v>
      </c>
      <c r="B17" s="5" t="s">
        <v>261</v>
      </c>
      <c r="C17" s="5" t="s">
        <v>38</v>
      </c>
      <c r="D17" s="5"/>
      <c r="E17" s="5"/>
      <c r="F17" s="5"/>
      <c r="G17" s="5"/>
      <c r="H17" s="5"/>
    </row>
    <row r="18" spans="1:8">
      <c r="A18" s="4" t="s">
        <v>262</v>
      </c>
      <c r="B18" s="9"/>
      <c r="C18" s="9"/>
      <c r="D18" s="9"/>
      <c r="E18" s="9"/>
      <c r="F18" s="9"/>
      <c r="G18" s="9"/>
      <c r="H18" s="9"/>
    </row>
    <row r="19" spans="1:8">
      <c r="A19" s="4" t="s">
        <v>263</v>
      </c>
      <c r="B19" s="9"/>
      <c r="C19" s="9"/>
      <c r="D19" s="9"/>
      <c r="E19" s="9"/>
      <c r="F19" s="9"/>
      <c r="G19" s="9"/>
      <c r="H19" s="9"/>
    </row>
    <row r="20" spans="1:8">
      <c r="A20" s="4" t="s">
        <v>264</v>
      </c>
      <c r="B20" s="9"/>
      <c r="C20" s="9"/>
      <c r="D20" s="9"/>
      <c r="E20" s="9"/>
      <c r="F20" s="9"/>
      <c r="G20" s="9"/>
      <c r="H20" s="9"/>
    </row>
    <row r="21" spans="1:8">
      <c r="A21" s="4" t="s">
        <v>265</v>
      </c>
      <c r="B21" s="9"/>
      <c r="C21" s="9"/>
      <c r="D21" s="9"/>
      <c r="E21" s="9"/>
      <c r="F21" s="9"/>
      <c r="G21" s="9"/>
      <c r="H21" s="9"/>
    </row>
    <row r="22" spans="1:8">
      <c r="A22" s="4" t="s">
        <v>266</v>
      </c>
      <c r="B22" s="9"/>
      <c r="C22" s="9"/>
      <c r="D22" s="9"/>
      <c r="E22" s="9"/>
      <c r="F22" s="9"/>
      <c r="G22" s="9"/>
      <c r="H22" s="9"/>
    </row>
    <row r="23" spans="1:8">
      <c r="A23" s="4" t="s">
        <v>267</v>
      </c>
      <c r="B23" s="9"/>
      <c r="C23" s="9"/>
      <c r="D23" s="9"/>
      <c r="E23" s="9"/>
      <c r="F23" s="9"/>
      <c r="G23" s="9"/>
      <c r="H23" s="9"/>
    </row>
    <row r="24" spans="1:8">
      <c r="A24" s="4" t="s">
        <v>268</v>
      </c>
      <c r="B24" s="9"/>
      <c r="C24" s="9"/>
      <c r="D24" s="9"/>
      <c r="E24" s="9"/>
      <c r="F24" s="9"/>
      <c r="G24" s="9"/>
      <c r="H24" s="9"/>
    </row>
    <row r="25" spans="1:8">
      <c r="A25" s="4" t="s">
        <v>269</v>
      </c>
      <c r="B25" s="9"/>
      <c r="C25" s="9"/>
      <c r="D25" s="9"/>
      <c r="E25" s="9"/>
      <c r="F25" s="9"/>
      <c r="G25" s="9"/>
      <c r="H25" s="9"/>
    </row>
    <row r="26" spans="1:8">
      <c r="A26" s="4" t="s">
        <v>270</v>
      </c>
      <c r="B26" s="9"/>
      <c r="C26" s="9"/>
      <c r="D26" s="9"/>
      <c r="E26" s="9"/>
      <c r="F26" s="9"/>
      <c r="G26" s="9"/>
      <c r="H26" s="9"/>
    </row>
    <row r="27" spans="1:8">
      <c r="A27" s="4" t="s">
        <v>271</v>
      </c>
      <c r="B27" s="9"/>
      <c r="C27" s="9"/>
      <c r="D27" s="9"/>
      <c r="E27" s="9"/>
      <c r="F27" s="9"/>
      <c r="G27" s="9"/>
      <c r="H27" s="9"/>
    </row>
  </sheetData>
  <mergeCells count="23">
    <mergeCell ref="B12:C12"/>
    <mergeCell ref="D12:H12"/>
    <mergeCell ref="B13:C13"/>
    <mergeCell ref="D13:H13"/>
    <mergeCell ref="B14:C14"/>
    <mergeCell ref="D14:H14"/>
    <mergeCell ref="B9:C9"/>
    <mergeCell ref="D9:H9"/>
    <mergeCell ref="B10:C10"/>
    <mergeCell ref="D10:H10"/>
    <mergeCell ref="B11:C11"/>
    <mergeCell ref="D11:H11"/>
    <mergeCell ref="B6:C6"/>
    <mergeCell ref="D6:H6"/>
    <mergeCell ref="B7:C7"/>
    <mergeCell ref="D7:H7"/>
    <mergeCell ref="B8:C8"/>
    <mergeCell ref="D8:H8"/>
    <mergeCell ref="A1:H1"/>
    <mergeCell ref="A2:H2"/>
    <mergeCell ref="A4:H4"/>
    <mergeCell ref="B5:C5"/>
    <mergeCell ref="D5:H5"/>
  </mergeCells>
  <dataValidations count="1">
    <dataValidation type="list" sqref="B18:B27" xr:uid="{00000000-0002-0000-0700-000000000000}">
      <formula1>"Sim,Não,A rever"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INSTRUÇÕES</vt:lpstr>
      <vt:lpstr>BASE_VENDAS</vt:lpstr>
      <vt:lpstr>RESUMO_FUNÇÕES</vt:lpstr>
      <vt:lpstr>DIAGNÓSTICO</vt:lpstr>
      <vt:lpstr>EMPRÉSTIMO</vt:lpstr>
      <vt:lpstr>POUPANÇA</vt:lpstr>
      <vt:lpstr>CENÁRIOS</vt:lpstr>
      <vt:lpstr>CONCLUSÕES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Cerejo Lopes</cp:lastModifiedBy>
  <dcterms:modified xsi:type="dcterms:W3CDTF">2026-09-01T11:49:51Z</dcterms:modified>
</cp:coreProperties>
</file>